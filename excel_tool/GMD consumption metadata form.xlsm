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fileSharing userName="R. Andres Castaneda" algorithmName="SHA-512" hashValue="OQsZwqwIXqDV5wUWNfc+vUuxkID3+RLQdDh4bNmVu+zYoUbHvzUnV09oG21Lv43Sv6DU8aM2g5jxw+Fte2uuRA==" saltValue="ofZA5yT1bTIDG5CWRmu5dQ==" spinCount="100000"/>
  <workbookPr codeName="ThisWorkbook" defaultThemeVersion="164011"/>
  <mc:AlternateContent xmlns:mc="http://schemas.openxmlformats.org/markup-compatibility/2006">
    <mc:Choice Requires="x15">
      <x15ac:absPath xmlns:x15ac="http://schemas.microsoft.com/office/spreadsheetml/2010/11/ac" url="\\wbntst01.worldbank.org\TeamDisk\GPWG\datalib\GMD consumption\03_working files\global files\"/>
    </mc:Choice>
  </mc:AlternateContent>
  <bookViews>
    <workbookView xWindow="0" yWindow="0" windowWidth="19200" windowHeight="7545" firstSheet="1" activeTab="1"/>
  </bookViews>
  <sheets>
    <sheet name="MAIN FORM (2)" sheetId="5" state="hidden" r:id="rId1"/>
    <sheet name="Instructions" sheetId="10" r:id="rId2"/>
    <sheet name="MAIN FORM" sheetId="1" r:id="rId3"/>
    <sheet name="Sheet1" sheetId="9" state="hidden" r:id="rId4"/>
    <sheet name="Dropdowns" sheetId="6" state="hidden" r:id="rId5"/>
    <sheet name="Checks" sheetId="8" state="hidden" r:id="rId6"/>
    <sheet name="data_base_main" sheetId="4" state="hidden" r:id="rId7"/>
    <sheet name="COICOP" sheetId="2" r:id="rId8"/>
    <sheet name="data_base_comments" sheetId="7" state="hidden" r:id="rId9"/>
  </sheets>
  <functionGroups builtInGroupCount="18"/>
  <definedNames>
    <definedName name="_xlnm._FilterDatabase" localSheetId="5" hidden="1">Checks!$A$1:$A$187</definedName>
    <definedName name="_xlnm._FilterDatabase" localSheetId="7" hidden="1">COICOP!$A$2:$E$231</definedName>
    <definedName name="_xlnm._FilterDatabase" localSheetId="2" hidden="1">'MAIN FORM'!$A$1:$J$191</definedName>
    <definedName name="_xlnm._FilterDatabase" localSheetId="0" hidden="1">'MAIN FORM (2)'!$A$2:$H$254</definedName>
    <definedName name="_xlnm._FilterDatabase" localSheetId="3" hidden="1">Sheet1!$A$1:$A$187</definedName>
    <definedName name="capture">Dropdowns!$J$2:$J$5</definedName>
    <definedName name="EAP">Dropdowns!$R$2:$R$16</definedName>
    <definedName name="ECA">Dropdowns!$S$2:$S$28</definedName>
    <definedName name="informante">Dropdowns!$N$2:$N$5</definedName>
    <definedName name="LAC">Dropdowns!$T$2:$T$20</definedName>
    <definedName name="MNA">Dropdowns!$W$2:$W$21</definedName>
    <definedName name="outside">Dropdowns!$L$2:$L$5</definedName>
    <definedName name="period">Dropdowns!$E$2:$E$5</definedName>
    <definedName name="recall">Dropdowns!$H$2:$H$12</definedName>
    <definedName name="Regions">Dropdowns!$P$2:$P$7</definedName>
    <definedName name="SAR">Dropdowns!$U$2:$U$7</definedName>
    <definedName name="SSA">Dropdowns!$V$2:$V$45</definedName>
    <definedName name="sunits">Dropdowns!$M$2:$M$11</definedName>
    <definedName name="type">Dropdowns!$K$2:$K$7</definedName>
    <definedName name="unit">Dropdowns!$D$2:$D$5</definedName>
    <definedName name="value">Dropdowns!$I$2:$I$6</definedName>
    <definedName name="yesno">Dropdowns!$F$2:$F$5</definedName>
    <definedName name="yesno2">Dropdowns!$G$2:$G$6</definedName>
  </definedNames>
  <calcPr calcId="171027"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91" i="1" l="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3" i="1"/>
  <c r="J142" i="1"/>
  <c r="J141" i="1"/>
  <c r="J140" i="1"/>
  <c r="J139" i="1"/>
  <c r="J137" i="1"/>
  <c r="J136" i="1"/>
  <c r="J135" i="1"/>
  <c r="J134" i="1"/>
  <c r="J133" i="1"/>
  <c r="J132" i="1"/>
  <c r="J131" i="1"/>
  <c r="J130" i="1"/>
  <c r="J129" i="1"/>
  <c r="J128" i="1"/>
  <c r="J127" i="1"/>
  <c r="J125" i="1"/>
  <c r="J124" i="1"/>
  <c r="J123" i="1"/>
  <c r="J122" i="1"/>
  <c r="J121" i="1"/>
  <c r="J120" i="1"/>
  <c r="J119" i="1"/>
  <c r="J118" i="1"/>
  <c r="J117" i="1"/>
  <c r="J116" i="1"/>
  <c r="J115" i="1"/>
  <c r="J114" i="1"/>
  <c r="J113" i="1"/>
  <c r="J112" i="1"/>
  <c r="J111" i="1"/>
  <c r="J110" i="1"/>
  <c r="J109" i="1"/>
  <c r="J108" i="1"/>
  <c r="J107" i="1"/>
  <c r="J106" i="1"/>
  <c r="J105" i="1"/>
  <c r="J103" i="1"/>
  <c r="J102" i="1"/>
  <c r="J101" i="1"/>
  <c r="J100" i="1"/>
  <c r="J98" i="1"/>
  <c r="J97" i="1"/>
  <c r="J96" i="1"/>
  <c r="J95" i="1"/>
  <c r="J93" i="1"/>
  <c r="J92" i="1"/>
  <c r="J91" i="1"/>
  <c r="J90" i="1"/>
  <c r="J88" i="1"/>
  <c r="J87" i="1"/>
  <c r="J86" i="1"/>
  <c r="J85" i="1"/>
  <c r="J83" i="1"/>
  <c r="J82" i="1"/>
  <c r="J81" i="1"/>
  <c r="J80" i="1"/>
  <c r="J78" i="1"/>
  <c r="J77" i="1"/>
  <c r="J76" i="1"/>
  <c r="J75" i="1"/>
  <c r="J73" i="1"/>
  <c r="J72" i="1"/>
  <c r="J71" i="1"/>
  <c r="J70" i="1"/>
  <c r="J68" i="1"/>
  <c r="J67" i="1"/>
  <c r="J66" i="1"/>
  <c r="J65" i="1"/>
  <c r="J63" i="1"/>
  <c r="J62" i="1"/>
  <c r="J61" i="1"/>
  <c r="J60" i="1"/>
  <c r="J58" i="1"/>
  <c r="J57" i="1"/>
  <c r="J56" i="1"/>
  <c r="J55" i="1"/>
  <c r="J52" i="1"/>
  <c r="J51" i="1"/>
  <c r="J50" i="1"/>
  <c r="J49" i="1"/>
  <c r="J48" i="1"/>
  <c r="J46" i="1"/>
  <c r="J45" i="1"/>
  <c r="J44" i="1"/>
  <c r="J43" i="1"/>
  <c r="J41" i="1"/>
  <c r="J40" i="1"/>
  <c r="J39" i="1"/>
  <c r="J38" i="1"/>
  <c r="J37" i="1"/>
  <c r="J36" i="1"/>
  <c r="J34" i="1"/>
  <c r="J33" i="1"/>
  <c r="J32" i="1"/>
  <c r="J31" i="1"/>
  <c r="J30" i="1"/>
  <c r="J28" i="1"/>
  <c r="J27" i="1"/>
  <c r="J26" i="1"/>
  <c r="J25" i="1"/>
  <c r="J24" i="1"/>
  <c r="J22" i="1"/>
  <c r="J21" i="1"/>
  <c r="J20" i="1"/>
  <c r="J19" i="1"/>
  <c r="J18" i="1"/>
  <c r="J17" i="1"/>
  <c r="J16" i="1"/>
  <c r="J15" i="1"/>
  <c r="J14" i="1"/>
  <c r="J13" i="1"/>
  <c r="J12" i="1"/>
  <c r="J11" i="1"/>
  <c r="J10" i="1"/>
  <c r="J9" i="1"/>
  <c r="J7" i="1"/>
  <c r="J6" i="1"/>
  <c r="H2" i="1"/>
  <c r="H3" i="1"/>
  <c r="H5" i="1"/>
  <c r="H4" i="1"/>
  <c r="D7" i="1"/>
  <c r="E7" i="1"/>
  <c r="D15" i="1"/>
  <c r="E15" i="1"/>
  <c r="A48" i="9"/>
  <c r="D6" i="1"/>
  <c r="E6" i="1"/>
  <c r="D22" i="1"/>
  <c r="D20" i="1"/>
  <c r="D19" i="1"/>
  <c r="D18" i="1"/>
  <c r="D17" i="1"/>
  <c r="D16" i="1"/>
  <c r="D14" i="1"/>
  <c r="D13" i="1"/>
  <c r="D12" i="1"/>
  <c r="D11" i="1"/>
  <c r="D10" i="1"/>
  <c r="D9" i="1"/>
  <c r="D5" i="1"/>
  <c r="D4" i="1"/>
  <c r="D3"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3" i="1"/>
  <c r="D142" i="1"/>
  <c r="D141" i="1"/>
  <c r="D140" i="1"/>
  <c r="D139" i="1"/>
  <c r="D137" i="1"/>
  <c r="D136" i="1"/>
  <c r="D135" i="1"/>
  <c r="D134" i="1"/>
  <c r="D133" i="1"/>
  <c r="D132" i="1"/>
  <c r="D131" i="1"/>
  <c r="D130" i="1"/>
  <c r="D129" i="1"/>
  <c r="D128" i="1"/>
  <c r="D127" i="1"/>
  <c r="D125" i="1"/>
  <c r="D124" i="1"/>
  <c r="D123" i="1"/>
  <c r="D122" i="1"/>
  <c r="D121" i="1"/>
  <c r="D120" i="1"/>
  <c r="D119" i="1"/>
  <c r="D118" i="1"/>
  <c r="D117" i="1"/>
  <c r="D116" i="1"/>
  <c r="D115" i="1"/>
  <c r="D114" i="1"/>
  <c r="D113" i="1"/>
  <c r="D112" i="1"/>
  <c r="D111" i="1"/>
  <c r="D110" i="1"/>
  <c r="D109" i="1"/>
  <c r="D108" i="1"/>
  <c r="D107" i="1"/>
  <c r="D106" i="1"/>
  <c r="D105" i="1"/>
  <c r="D103" i="1"/>
  <c r="D102" i="1"/>
  <c r="D101" i="1"/>
  <c r="D100" i="1"/>
  <c r="D98" i="1"/>
  <c r="D97" i="1"/>
  <c r="D96" i="1"/>
  <c r="D95" i="1"/>
  <c r="D93" i="1"/>
  <c r="D92" i="1"/>
  <c r="D91" i="1"/>
  <c r="D90" i="1"/>
  <c r="D88" i="1"/>
  <c r="D87" i="1"/>
  <c r="D86" i="1"/>
  <c r="D85" i="1"/>
  <c r="D83" i="1"/>
  <c r="D82" i="1"/>
  <c r="D81" i="1"/>
  <c r="D80" i="1"/>
  <c r="D78" i="1"/>
  <c r="D77" i="1"/>
  <c r="D76" i="1"/>
  <c r="D75" i="1"/>
  <c r="D73" i="1"/>
  <c r="D72" i="1"/>
  <c r="D71" i="1"/>
  <c r="D70" i="1"/>
  <c r="D68" i="1"/>
  <c r="D67" i="1"/>
  <c r="D66" i="1"/>
  <c r="D65" i="1"/>
  <c r="D63" i="1"/>
  <c r="D62" i="1"/>
  <c r="D61" i="1"/>
  <c r="D60" i="1"/>
  <c r="D58" i="1"/>
  <c r="D57" i="1"/>
  <c r="D56" i="1"/>
  <c r="D55" i="1"/>
  <c r="D52" i="1"/>
  <c r="D51" i="1"/>
  <c r="D50" i="1"/>
  <c r="D49" i="1"/>
  <c r="D48" i="1"/>
  <c r="D46" i="1"/>
  <c r="D45" i="1"/>
  <c r="D44" i="1"/>
  <c r="D43" i="1"/>
  <c r="D41" i="1"/>
  <c r="D40" i="1"/>
  <c r="D39" i="1"/>
  <c r="D38" i="1"/>
  <c r="D37" i="1"/>
  <c r="D36" i="1"/>
  <c r="D34" i="1"/>
  <c r="D33" i="1"/>
  <c r="D32" i="1"/>
  <c r="D31" i="1"/>
  <c r="D30" i="1"/>
  <c r="D28" i="1"/>
  <c r="D27" i="1"/>
  <c r="D26" i="1"/>
  <c r="D25" i="1"/>
  <c r="D24" i="1"/>
  <c r="E22" i="1"/>
  <c r="E18" i="1"/>
  <c r="E110" i="1"/>
  <c r="E142" i="1"/>
  <c r="E137" i="1"/>
  <c r="E136" i="1"/>
  <c r="E118" i="1"/>
  <c r="E119" i="1"/>
  <c r="E120" i="1"/>
  <c r="E121" i="1"/>
  <c r="E122" i="1"/>
  <c r="E123" i="1"/>
  <c r="E124" i="1"/>
  <c r="E125" i="1"/>
  <c r="E111" i="1"/>
  <c r="E112" i="1"/>
  <c r="E113" i="1"/>
  <c r="E114" i="1"/>
  <c r="E115" i="1"/>
  <c r="E116" i="1"/>
  <c r="E108" i="1"/>
  <c r="E107" i="1"/>
  <c r="E106" i="1"/>
  <c r="E105" i="1"/>
  <c r="E103" i="1"/>
  <c r="E102" i="1"/>
  <c r="E101" i="1"/>
  <c r="E100" i="1"/>
  <c r="E98" i="1"/>
  <c r="E97" i="1"/>
  <c r="E96" i="1"/>
  <c r="E95" i="1"/>
  <c r="E93" i="1"/>
  <c r="E92" i="1"/>
  <c r="E91" i="1"/>
  <c r="E90" i="1"/>
  <c r="E88" i="1"/>
  <c r="E87" i="1"/>
  <c r="E86" i="1"/>
  <c r="E85" i="1"/>
  <c r="E83" i="1"/>
  <c r="E82" i="1"/>
  <c r="E81" i="1"/>
  <c r="E80" i="1"/>
  <c r="E78" i="1"/>
  <c r="E77" i="1"/>
  <c r="E76" i="1"/>
  <c r="E75" i="1"/>
  <c r="E73" i="1"/>
  <c r="E72" i="1"/>
  <c r="E71" i="1"/>
  <c r="E70" i="1"/>
  <c r="E68" i="1"/>
  <c r="E67" i="1"/>
  <c r="E66" i="1"/>
  <c r="E65" i="1"/>
  <c r="E63" i="1"/>
  <c r="E62" i="1"/>
  <c r="E61" i="1"/>
  <c r="E60" i="1"/>
  <c r="E56" i="1"/>
  <c r="E57" i="1"/>
  <c r="E58" i="1"/>
  <c r="E55" i="1"/>
  <c r="E49" i="1"/>
  <c r="E50" i="1"/>
  <c r="E51" i="1"/>
  <c r="E52" i="1"/>
  <c r="E109" i="1"/>
  <c r="E48" i="1"/>
  <c r="E44" i="1"/>
  <c r="E45" i="1"/>
  <c r="E46" i="1"/>
  <c r="E43" i="1"/>
  <c r="E37" i="1"/>
  <c r="E38" i="1"/>
  <c r="E39" i="1"/>
  <c r="E40" i="1"/>
  <c r="E41" i="1"/>
  <c r="E36" i="1"/>
  <c r="E31" i="1"/>
  <c r="E32" i="1"/>
  <c r="E33" i="1"/>
  <c r="E34" i="1"/>
  <c r="E30" i="1"/>
  <c r="E25" i="1"/>
  <c r="E26" i="1"/>
  <c r="E27" i="1"/>
  <c r="E28" i="1"/>
  <c r="E24" i="1"/>
  <c r="E20"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45" i="1"/>
  <c r="E135" i="1"/>
  <c r="E134" i="1"/>
  <c r="E133" i="1"/>
  <c r="E132" i="1"/>
  <c r="E131" i="1"/>
  <c r="E130" i="1"/>
  <c r="E129" i="1"/>
  <c r="E128" i="1"/>
  <c r="E127" i="1"/>
  <c r="E13" i="1"/>
  <c r="E12" i="1"/>
  <c r="E11" i="1"/>
  <c r="E10" i="1"/>
  <c r="E9" i="1"/>
  <c r="E140" i="1"/>
  <c r="E4" i="1"/>
  <c r="E5" i="1"/>
  <c r="E14" i="1"/>
  <c r="E16" i="1"/>
  <c r="E17" i="1"/>
  <c r="E19" i="1"/>
  <c r="E117" i="1"/>
  <c r="E143" i="1"/>
  <c r="E139" i="1"/>
  <c r="E141" i="1"/>
  <c r="E3" i="1"/>
  <c r="F254" i="5"/>
  <c r="F253" i="5"/>
  <c r="F252" i="5"/>
  <c r="F251" i="5"/>
  <c r="F250" i="5"/>
  <c r="F249" i="5"/>
  <c r="F248" i="5"/>
  <c r="F247" i="5"/>
  <c r="F246" i="5"/>
  <c r="F245" i="5"/>
  <c r="F244" i="5"/>
  <c r="F243" i="5"/>
  <c r="F242" i="5"/>
  <c r="F241" i="5"/>
  <c r="F240" i="5"/>
  <c r="F239" i="5"/>
  <c r="F238" i="5"/>
  <c r="F237" i="5"/>
  <c r="F236" i="5"/>
  <c r="F235" i="5"/>
  <c r="F234" i="5"/>
  <c r="F233" i="5"/>
  <c r="F232" i="5"/>
  <c r="F231" i="5"/>
  <c r="F230" i="5"/>
  <c r="F229" i="5"/>
  <c r="F228" i="5"/>
  <c r="F227" i="5"/>
  <c r="F226" i="5"/>
  <c r="F225" i="5"/>
  <c r="F224" i="5"/>
  <c r="F223" i="5"/>
  <c r="F222" i="5"/>
  <c r="F221" i="5"/>
  <c r="F220" i="5"/>
  <c r="F219" i="5"/>
  <c r="F218" i="5"/>
  <c r="F217" i="5"/>
  <c r="F213" i="5"/>
  <c r="F212" i="5"/>
  <c r="F210" i="5"/>
  <c r="F209" i="5"/>
  <c r="F208" i="5"/>
  <c r="F207" i="5"/>
  <c r="F206" i="5"/>
  <c r="F205" i="5"/>
  <c r="F204" i="5"/>
  <c r="F203" i="5"/>
  <c r="F202" i="5"/>
  <c r="F201" i="5"/>
  <c r="F200" i="5"/>
  <c r="F199" i="5"/>
  <c r="F198" i="5"/>
  <c r="F197" i="5"/>
  <c r="F196" i="5"/>
  <c r="F195" i="5"/>
  <c r="F194" i="5"/>
  <c r="F193" i="5"/>
  <c r="F192" i="5"/>
  <c r="F191" i="5"/>
  <c r="F190" i="5"/>
  <c r="F189" i="5"/>
  <c r="F188" i="5"/>
  <c r="F187" i="5"/>
  <c r="F186" i="5"/>
  <c r="F185" i="5"/>
  <c r="F184" i="5"/>
  <c r="F183" i="5"/>
  <c r="F182" i="5"/>
  <c r="F181" i="5"/>
  <c r="F180" i="5"/>
  <c r="F179" i="5"/>
  <c r="F178" i="5"/>
  <c r="F177" i="5"/>
  <c r="F176" i="5"/>
  <c r="F175" i="5"/>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F143" i="5"/>
  <c r="F142" i="5"/>
  <c r="F141" i="5"/>
  <c r="F140" i="5"/>
  <c r="F139" i="5"/>
  <c r="F138" i="5"/>
  <c r="F137" i="5"/>
  <c r="F136" i="5"/>
  <c r="F135" i="5"/>
  <c r="F134" i="5"/>
  <c r="F133" i="5"/>
  <c r="F132" i="5"/>
  <c r="F131" i="5"/>
  <c r="F130" i="5"/>
  <c r="F129" i="5"/>
  <c r="F128" i="5"/>
  <c r="F127" i="5"/>
  <c r="F126" i="5"/>
  <c r="F125" i="5"/>
  <c r="F124" i="5"/>
  <c r="F123" i="5"/>
  <c r="F122" i="5"/>
  <c r="F121" i="5"/>
  <c r="F120" i="5"/>
  <c r="F119" i="5"/>
  <c r="F118" i="5"/>
  <c r="F117" i="5"/>
  <c r="F116" i="5"/>
  <c r="F115" i="5"/>
  <c r="F114" i="5"/>
  <c r="F113" i="5"/>
  <c r="F112" i="5"/>
  <c r="F111" i="5"/>
  <c r="F110" i="5"/>
  <c r="F109" i="5"/>
  <c r="F108" i="5"/>
  <c r="F107" i="5"/>
  <c r="F106" i="5"/>
  <c r="F105" i="5"/>
  <c r="F104" i="5"/>
  <c r="F103" i="5"/>
  <c r="F102" i="5"/>
  <c r="F101" i="5"/>
  <c r="F100" i="5"/>
  <c r="F99" i="5"/>
  <c r="F98" i="5"/>
  <c r="F97" i="5"/>
  <c r="F96" i="5"/>
  <c r="F95" i="5"/>
  <c r="F94" i="5"/>
  <c r="F93" i="5"/>
  <c r="F92" i="5"/>
  <c r="F91" i="5"/>
  <c r="F90" i="5"/>
  <c r="F89" i="5"/>
  <c r="F88" i="5"/>
  <c r="F87" i="5"/>
  <c r="F86" i="5"/>
  <c r="F85" i="5"/>
  <c r="F84" i="5"/>
  <c r="F83" i="5"/>
  <c r="F82" i="5"/>
  <c r="F81" i="5"/>
  <c r="F80" i="5"/>
  <c r="F79" i="5"/>
  <c r="F78" i="5"/>
  <c r="F77" i="5"/>
  <c r="F76" i="5"/>
  <c r="F75" i="5"/>
  <c r="F74" i="5"/>
  <c r="F73" i="5"/>
  <c r="F72" i="5"/>
  <c r="F71" i="5"/>
  <c r="F70" i="5"/>
  <c r="F69" i="5"/>
  <c r="F68" i="5"/>
  <c r="F67" i="5"/>
  <c r="F66" i="5"/>
  <c r="F65" i="5"/>
  <c r="F63" i="5"/>
  <c r="F62" i="5"/>
  <c r="F60" i="5"/>
  <c r="F59" i="5"/>
  <c r="F58" i="5"/>
  <c r="F57" i="5"/>
  <c r="F56" i="5"/>
  <c r="F55" i="5"/>
  <c r="F54" i="5"/>
  <c r="F53" i="5"/>
  <c r="F52" i="5"/>
  <c r="F51" i="5"/>
  <c r="F50" i="5"/>
  <c r="F49" i="5"/>
  <c r="F48" i="5"/>
  <c r="F47" i="5"/>
  <c r="F46" i="5"/>
  <c r="F45" i="5"/>
  <c r="F44" i="5"/>
  <c r="F43" i="5"/>
  <c r="F42" i="5"/>
  <c r="F41" i="5"/>
  <c r="F40" i="5"/>
  <c r="F39" i="5"/>
  <c r="F38" i="5"/>
  <c r="F37" i="5"/>
  <c r="F36" i="5"/>
  <c r="F35" i="5"/>
  <c r="F34" i="5"/>
  <c r="F33" i="5"/>
  <c r="F32" i="5"/>
  <c r="F31" i="5"/>
  <c r="F30" i="5"/>
  <c r="F29" i="5"/>
  <c r="F28" i="5"/>
  <c r="F27" i="5"/>
  <c r="F26" i="5"/>
  <c r="F25" i="5"/>
  <c r="F24" i="5"/>
  <c r="F23" i="5"/>
  <c r="F22" i="5"/>
  <c r="F21" i="5"/>
  <c r="F20" i="5"/>
  <c r="F19" i="5"/>
  <c r="F18" i="5"/>
  <c r="F17" i="5"/>
  <c r="F16" i="5"/>
  <c r="F15" i="5"/>
  <c r="F14" i="5"/>
  <c r="F13" i="5"/>
  <c r="F12" i="5"/>
  <c r="F11" i="5"/>
  <c r="F10" i="5"/>
  <c r="F9" i="5"/>
  <c r="F8" i="5"/>
  <c r="F7" i="5"/>
  <c r="F6" i="5"/>
  <c r="F5" i="5"/>
  <c r="F4" i="5"/>
  <c r="F3" i="5"/>
</calcChain>
</file>

<file path=xl/sharedStrings.xml><?xml version="1.0" encoding="utf-8"?>
<sst xmlns="http://schemas.openxmlformats.org/spreadsheetml/2006/main" count="3556" uniqueCount="1197">
  <si>
    <t>How is the sample unit defined?</t>
  </si>
  <si>
    <t>What is the sample representativeness?</t>
  </si>
  <si>
    <t>What is the sample unit?</t>
  </si>
  <si>
    <t>What sampling method was used?</t>
  </si>
  <si>
    <t>Sampling frame</t>
  </si>
  <si>
    <t>Food consumption</t>
  </si>
  <si>
    <t>Comments</t>
  </si>
  <si>
    <t>Urban</t>
  </si>
  <si>
    <t>National</t>
  </si>
  <si>
    <t>Rural</t>
  </si>
  <si>
    <t>Regional</t>
  </si>
  <si>
    <t>Individual</t>
  </si>
  <si>
    <t>Household</t>
  </si>
  <si>
    <t>(Fill)</t>
  </si>
  <si>
    <t>Year-long</t>
  </si>
  <si>
    <t>Quarter-long</t>
  </si>
  <si>
    <t>What is the data collection period?</t>
  </si>
  <si>
    <t>What information about food consumption there is?</t>
  </si>
  <si>
    <t>Food at home</t>
  </si>
  <si>
    <t>Food outside home</t>
  </si>
  <si>
    <t>In-kind transfers to the household</t>
  </si>
  <si>
    <t>In-kind transfers to other households</t>
  </si>
  <si>
    <t>What is the unit of measure for food consumption at home?</t>
  </si>
  <si>
    <t>What is the unit of measure for food consumption outside home?</t>
  </si>
  <si>
    <t>What is the unit of measure for food in-kind transfers?</t>
  </si>
  <si>
    <t>Quantitites</t>
  </si>
  <si>
    <t>Pecuniary values</t>
  </si>
  <si>
    <t>What is the recall period for for food consumption at home?</t>
  </si>
  <si>
    <t>What is the recall period for for food consumption outside home?</t>
  </si>
  <si>
    <t>What is the recall period for for food in-kind transfers?</t>
  </si>
  <si>
    <t>General information</t>
  </si>
  <si>
    <t>Name of the country</t>
  </si>
  <si>
    <t>Year of the survey</t>
  </si>
  <si>
    <t>Name of the survey</t>
  </si>
  <si>
    <t>Housing</t>
  </si>
  <si>
    <t>Durables</t>
  </si>
  <si>
    <t>Is there information on the amount of rent paid?</t>
  </si>
  <si>
    <t>Yes (continuous varaible)</t>
  </si>
  <si>
    <t>Yes (discrete varaible)</t>
  </si>
  <si>
    <t>No</t>
  </si>
  <si>
    <t>Is there information on self-reported rent (homeowners and subsidized tenats)?</t>
  </si>
  <si>
    <t>Is there information about subsidized housing?</t>
  </si>
  <si>
    <t>Electricity</t>
  </si>
  <si>
    <t>Santiation</t>
  </si>
  <si>
    <t>Water</t>
  </si>
  <si>
    <t>Does the amount of rent paid includes utilities?</t>
  </si>
  <si>
    <t>Yes</t>
  </si>
  <si>
    <t>Kitchen</t>
  </si>
  <si>
    <t>Number of bathrooms</t>
  </si>
  <si>
    <t>Material of the walls</t>
  </si>
  <si>
    <t>Material of the roof</t>
  </si>
  <si>
    <t>Material of the floor</t>
  </si>
  <si>
    <t>Garage</t>
  </si>
  <si>
    <t>Type of dwellling (house, apartment, etc.)</t>
  </si>
  <si>
    <t>Are of the dwelling</t>
  </si>
  <si>
    <t>Number of bedrooms</t>
  </si>
  <si>
    <t>Is there information on access to basic services?</t>
  </si>
  <si>
    <t>Percentage of missing values in related variable</t>
  </si>
  <si>
    <t>Topic</t>
  </si>
  <si>
    <t>Question</t>
  </si>
  <si>
    <t>Answer</t>
  </si>
  <si>
    <t>Replace with 1 if answer applies</t>
  </si>
  <si>
    <t>N/A</t>
  </si>
  <si>
    <t>Code</t>
  </si>
  <si>
    <t>Description</t>
  </si>
  <si>
    <t>Food and non-alcoholic beverages</t>
  </si>
  <si>
    <t>Food</t>
  </si>
  <si>
    <t>01.1.1</t>
  </si>
  <si>
    <t>Bread and cereals (ND)</t>
  </si>
  <si>
    <t>01.1.2</t>
  </si>
  <si>
    <t>Meat (ND)</t>
  </si>
  <si>
    <t>01.1.3</t>
  </si>
  <si>
    <t>Fish and seafood (ND)</t>
  </si>
  <si>
    <t>01.1.4</t>
  </si>
  <si>
    <t>Milk, cheese and eggs (ND)</t>
  </si>
  <si>
    <t>01.1.5</t>
  </si>
  <si>
    <t>Oils and fats (ND)</t>
  </si>
  <si>
    <t>01.1.6</t>
  </si>
  <si>
    <t>Fruit (ND)</t>
  </si>
  <si>
    <t>01.1.7</t>
  </si>
  <si>
    <t>Vegetables (ND)</t>
  </si>
  <si>
    <t>01.1.8</t>
  </si>
  <si>
    <t>Sugar, jam, honey, chocolate and confectionery (ND)</t>
  </si>
  <si>
    <t>01.1.9</t>
  </si>
  <si>
    <t>Food products n.e.c. (ND)</t>
  </si>
  <si>
    <t>Non-alcoholic beverages</t>
  </si>
  <si>
    <t>01.2.1</t>
  </si>
  <si>
    <t>Coffee, tea and cocoa (ND)</t>
  </si>
  <si>
    <t>01.2.2</t>
  </si>
  <si>
    <t>Mineral waters, soft drinks, fruit and vegetable juices (ND)</t>
  </si>
  <si>
    <t>Alcoholic beverages, tobacco and narcotics</t>
  </si>
  <si>
    <t>Alcoholic beverages</t>
  </si>
  <si>
    <t>02.1.1</t>
  </si>
  <si>
    <t>Spirits (ND)</t>
  </si>
  <si>
    <t>02.1.2</t>
  </si>
  <si>
    <t>Wine (ND)</t>
  </si>
  <si>
    <t>02.1.3</t>
  </si>
  <si>
    <t>Beer (ND)</t>
  </si>
  <si>
    <t>Tobacco</t>
  </si>
  <si>
    <t>02.2.0</t>
  </si>
  <si>
    <t>Tobacco (ND)</t>
  </si>
  <si>
    <t>Narcotics</t>
  </si>
  <si>
    <t>02.3.0</t>
  </si>
  <si>
    <t>Narcotics (ND)</t>
  </si>
  <si>
    <t>Clothing and footwear</t>
  </si>
  <si>
    <t>Clothing</t>
  </si>
  <si>
    <t>03.1.1</t>
  </si>
  <si>
    <t>Clothing materials (SD)</t>
  </si>
  <si>
    <t>03.1.2</t>
  </si>
  <si>
    <t>Garments (SD)</t>
  </si>
  <si>
    <t>03.1.3</t>
  </si>
  <si>
    <t>Other articles of clothing and clothing accessories (SD)</t>
  </si>
  <si>
    <t>03.1.4</t>
  </si>
  <si>
    <t>Cleaning, repair and hire of clothing (S)</t>
  </si>
  <si>
    <t>Footwear</t>
  </si>
  <si>
    <t>03.2.1</t>
  </si>
  <si>
    <t>Shoes and other footwear (SD)</t>
  </si>
  <si>
    <t>03.2.2</t>
  </si>
  <si>
    <t>Repair and hire of footwear (S)</t>
  </si>
  <si>
    <t>Housing, water, electricity, gas and other fuels</t>
  </si>
  <si>
    <t>Actual rentals for housing</t>
  </si>
  <si>
    <t>04.1.1</t>
  </si>
  <si>
    <t>Actual rentals paid by tenants (S)</t>
  </si>
  <si>
    <t>04.1.2</t>
  </si>
  <si>
    <t>Other actual rentals (S)</t>
  </si>
  <si>
    <t>Imputed rentals for housing</t>
  </si>
  <si>
    <t>04.2.1</t>
  </si>
  <si>
    <t>Imputed rentals of owner-occupiers (S)</t>
  </si>
  <si>
    <t>04.2.2</t>
  </si>
  <si>
    <t>Other imputed rentals (S)</t>
  </si>
  <si>
    <t>Maintenance and repair of the dwelling</t>
  </si>
  <si>
    <t>04.3.1</t>
  </si>
  <si>
    <t>Materials for the maintenance and repair of the dwelling (ND)</t>
  </si>
  <si>
    <t>04.3.2</t>
  </si>
  <si>
    <t>Services for the maintenance and repair of the dwelling (S)</t>
  </si>
  <si>
    <t>Water supply and miscellaneous services relating to the dwelling</t>
  </si>
  <si>
    <t>04.4.1</t>
  </si>
  <si>
    <t>Water supply (ND)</t>
  </si>
  <si>
    <t>04.4.2</t>
  </si>
  <si>
    <t>Refuse collection (S)</t>
  </si>
  <si>
    <t>04.4.3</t>
  </si>
  <si>
    <t>Sewage collection (S)</t>
  </si>
  <si>
    <t>04.4.4</t>
  </si>
  <si>
    <t>Other services relating to the dwelling n.e.c. (S)</t>
  </si>
  <si>
    <t>Electricity, gas and other fuels</t>
  </si>
  <si>
    <t>04.5.1</t>
  </si>
  <si>
    <t>Electricity (ND)</t>
  </si>
  <si>
    <t>04.5.2</t>
  </si>
  <si>
    <t>Gas (ND)</t>
  </si>
  <si>
    <t>04.5.3</t>
  </si>
  <si>
    <t>Liquid fuels (ND)</t>
  </si>
  <si>
    <t>04.5.4</t>
  </si>
  <si>
    <t>Solid fuels (ND)</t>
  </si>
  <si>
    <t>04.5.5</t>
  </si>
  <si>
    <t>Heat energy (ND)</t>
  </si>
  <si>
    <t>Furnishings, household equipment and routine household maintenance</t>
  </si>
  <si>
    <t>Furniture and furnishings, carpets and other floor coverings</t>
  </si>
  <si>
    <t>05.1.1</t>
  </si>
  <si>
    <t>Furniture and furnishings (D)</t>
  </si>
  <si>
    <t>05.1.2</t>
  </si>
  <si>
    <t>Carpets and other floor coverings (D)</t>
  </si>
  <si>
    <t>05.1.3</t>
  </si>
  <si>
    <t>Repair of furniture, furnishings and floor coverings (S)</t>
  </si>
  <si>
    <t>Household textiles</t>
  </si>
  <si>
    <t>05.2.0</t>
  </si>
  <si>
    <t>Household textiles (SD)</t>
  </si>
  <si>
    <t>Household appliances</t>
  </si>
  <si>
    <t>05.3.1</t>
  </si>
  <si>
    <t>Major household appliances whether electric or not (D)</t>
  </si>
  <si>
    <t>05.3.2</t>
  </si>
  <si>
    <t>Small electric household appliances (SD)</t>
  </si>
  <si>
    <t>05.3.3</t>
  </si>
  <si>
    <t>Repair of household appliances (S)</t>
  </si>
  <si>
    <t>Glassware, tableware and household utensils</t>
  </si>
  <si>
    <t>05.4.0</t>
  </si>
  <si>
    <t>Glassware, tableware and household utensils (SD)</t>
  </si>
  <si>
    <t>Tools and equipment for house and garden</t>
  </si>
  <si>
    <t>05.5.1</t>
  </si>
  <si>
    <t>Major tools and equipment (D)</t>
  </si>
  <si>
    <t>05.5.2</t>
  </si>
  <si>
    <t>Small tools and miscellaneous accessories (SD)</t>
  </si>
  <si>
    <t>Goods and services for routine household maintenance</t>
  </si>
  <si>
    <t>05.6.1</t>
  </si>
  <si>
    <t>Non-durable household goods (ND)</t>
  </si>
  <si>
    <t>05.6.2</t>
  </si>
  <si>
    <t>Domestic services and household services (S)</t>
  </si>
  <si>
    <t>Health</t>
  </si>
  <si>
    <t>Medical products, appliances and equipment</t>
  </si>
  <si>
    <t>06.1.1</t>
  </si>
  <si>
    <t>Pharmaceutical products (ND)</t>
  </si>
  <si>
    <t>06.1.2</t>
  </si>
  <si>
    <t>Other medical products (ND)</t>
  </si>
  <si>
    <t>06.1.3</t>
  </si>
  <si>
    <t>Therapeutic appliances and equipment (D)</t>
  </si>
  <si>
    <t>Outpatient services</t>
  </si>
  <si>
    <t>06.2.1</t>
  </si>
  <si>
    <t>Medical services (S)</t>
  </si>
  <si>
    <t>06.2.2</t>
  </si>
  <si>
    <t>Dental services (S)</t>
  </si>
  <si>
    <t>06.2.3</t>
  </si>
  <si>
    <t>Paramedical services (S)</t>
  </si>
  <si>
    <t>Hospital services</t>
  </si>
  <si>
    <t>06.3.0</t>
  </si>
  <si>
    <t>Hospital services (S)</t>
  </si>
  <si>
    <t>Transport</t>
  </si>
  <si>
    <t>Purchase of vehicles</t>
  </si>
  <si>
    <t>07.1.1</t>
  </si>
  <si>
    <t>Motor cars (D)</t>
  </si>
  <si>
    <t>07.1.2</t>
  </si>
  <si>
    <t>Motor cycles (D)</t>
  </si>
  <si>
    <t>07.1.3</t>
  </si>
  <si>
    <t>Bicycles (D)</t>
  </si>
  <si>
    <t>07.1.4</t>
  </si>
  <si>
    <t>Animal drawn vehicles (D)</t>
  </si>
  <si>
    <t>Operation of personal transport equipment</t>
  </si>
  <si>
    <t>07.2.1</t>
  </si>
  <si>
    <t>Spare parts and accessories for personal transport equipment (SD)</t>
  </si>
  <si>
    <t>07.2.2</t>
  </si>
  <si>
    <t>Fuels and lubricants for personal transport equipment (ND)</t>
  </si>
  <si>
    <t>07.2.3</t>
  </si>
  <si>
    <t>Maintenance and repair of personal transport equipment (S)</t>
  </si>
  <si>
    <t>07.2.4</t>
  </si>
  <si>
    <t>Other services in respect of personal transport equipment (S)</t>
  </si>
  <si>
    <t>Transport services</t>
  </si>
  <si>
    <t>07.3.1</t>
  </si>
  <si>
    <t>Passenger transport by railway (S)</t>
  </si>
  <si>
    <t>07.3.2</t>
  </si>
  <si>
    <t>Passenger transport by road (S)</t>
  </si>
  <si>
    <t>07.3.3</t>
  </si>
  <si>
    <t>Passenger transport by air (S)</t>
  </si>
  <si>
    <t>07.3.4</t>
  </si>
  <si>
    <t>Passenger transport by sea and inland waterway (S)</t>
  </si>
  <si>
    <t>07.3.5</t>
  </si>
  <si>
    <t>Combined passenger transport (S)</t>
  </si>
  <si>
    <t>07.3.6</t>
  </si>
  <si>
    <t>Other purchased transport services (S)</t>
  </si>
  <si>
    <t>Communication</t>
  </si>
  <si>
    <t>Postal services</t>
  </si>
  <si>
    <t>08.1.0</t>
  </si>
  <si>
    <t>Postal services (S)</t>
  </si>
  <si>
    <t>Telephone and telefax equipment</t>
  </si>
  <si>
    <t>08.2.0</t>
  </si>
  <si>
    <t>Telephone and telefax equipment (D)</t>
  </si>
  <si>
    <t>Telephone and telefax services</t>
  </si>
  <si>
    <t>08.3.0</t>
  </si>
  <si>
    <t>Telephone and telefax services (S)</t>
  </si>
  <si>
    <t>Recreation and culture</t>
  </si>
  <si>
    <t>Audio-visual, photographic and information processing equipment</t>
  </si>
  <si>
    <t>09.1.1</t>
  </si>
  <si>
    <t>Equipment for the reception, recording and reproduction of sound and pictures (D)</t>
  </si>
  <si>
    <t>09.1.2</t>
  </si>
  <si>
    <t>Photographic and cinematographic equipment and optical instruments (D)</t>
  </si>
  <si>
    <t>09.1.3</t>
  </si>
  <si>
    <t>Information processing equipment (D)</t>
  </si>
  <si>
    <t>09.1.4</t>
  </si>
  <si>
    <t>Recording media (SD)</t>
  </si>
  <si>
    <t>09.1.5</t>
  </si>
  <si>
    <t>Repair of audio-visual, photographic and information processing equipment (S)</t>
  </si>
  <si>
    <t>Other major durables for recreation and culture</t>
  </si>
  <si>
    <t>09.2.1</t>
  </si>
  <si>
    <t>Major durables for outdoor recreation (D)</t>
  </si>
  <si>
    <t>09.2.2</t>
  </si>
  <si>
    <t>Musical instruments and major durables for indoor recreation (D)</t>
  </si>
  <si>
    <t>09.2.3</t>
  </si>
  <si>
    <t>Maintenance and repair of other major durables for recreation and culture (S)</t>
  </si>
  <si>
    <t>Other recreational items and equipment, gardens and pets</t>
  </si>
  <si>
    <t>09.3.1</t>
  </si>
  <si>
    <t>Games, toys and hobbies (SD)</t>
  </si>
  <si>
    <t>09.3.2</t>
  </si>
  <si>
    <t>Equipment for sport, camping and open-air recreation (SD)</t>
  </si>
  <si>
    <t>09.3.3</t>
  </si>
  <si>
    <t>Gardens, plants and flowers (ND)</t>
  </si>
  <si>
    <t>09.3.4</t>
  </si>
  <si>
    <t>Pets and related products (ND)</t>
  </si>
  <si>
    <t>09.3.5</t>
  </si>
  <si>
    <t>Veterinary and other services for pets (S)</t>
  </si>
  <si>
    <t>Recreational and cultural services</t>
  </si>
  <si>
    <t>09.4.1</t>
  </si>
  <si>
    <t>Recreational and sporting services (S)</t>
  </si>
  <si>
    <t>09.4.2</t>
  </si>
  <si>
    <t>Cultural services (S)</t>
  </si>
  <si>
    <t>09.4.3</t>
  </si>
  <si>
    <t>Games of chance (S)</t>
  </si>
  <si>
    <t>Newspapers, books and stationery</t>
  </si>
  <si>
    <t>09.5.1</t>
  </si>
  <si>
    <t>Books (SD)</t>
  </si>
  <si>
    <t>09.5.2</t>
  </si>
  <si>
    <t>Newspapers and periodicals (ND)</t>
  </si>
  <si>
    <t>09.5.3</t>
  </si>
  <si>
    <t>Miscellaneous printed matter (ND)</t>
  </si>
  <si>
    <t>09.5.4</t>
  </si>
  <si>
    <t>Stationery and drawing materials (ND)</t>
  </si>
  <si>
    <t>Package holidays</t>
  </si>
  <si>
    <t>09.6.0</t>
  </si>
  <si>
    <t>Package holidays (S)</t>
  </si>
  <si>
    <t>Education</t>
  </si>
  <si>
    <t>Pre-primary and primary education</t>
  </si>
  <si>
    <t>10.1.0</t>
  </si>
  <si>
    <t>Pre-primary and primary education (S)</t>
  </si>
  <si>
    <t>Secondary education</t>
  </si>
  <si>
    <t>10.2.0</t>
  </si>
  <si>
    <t>Secondary education (S)</t>
  </si>
  <si>
    <t>Post-secondary non-tertiary education</t>
  </si>
  <si>
    <t>10.3.0</t>
  </si>
  <si>
    <t>Post-secondary non-tertiary education (S)</t>
  </si>
  <si>
    <t>Tertiary education</t>
  </si>
  <si>
    <t>10.4.0</t>
  </si>
  <si>
    <t>Tertiary education (S)</t>
  </si>
  <si>
    <t>Education not definable by level</t>
  </si>
  <si>
    <t>10.5.0</t>
  </si>
  <si>
    <t>Education not definable by level (S)</t>
  </si>
  <si>
    <t>Restaurants and hotels</t>
  </si>
  <si>
    <t>Catering services</t>
  </si>
  <si>
    <t>11.1.1</t>
  </si>
  <si>
    <t>Restaurants, cafés and the like (S)</t>
  </si>
  <si>
    <t>11.1.2</t>
  </si>
  <si>
    <t>Canteens (S)</t>
  </si>
  <si>
    <t>Accommodation services</t>
  </si>
  <si>
    <t>11.2.0</t>
  </si>
  <si>
    <t>Accommodation services (S)</t>
  </si>
  <si>
    <t>Miscellaneous goods and services</t>
  </si>
  <si>
    <t>Personal care</t>
  </si>
  <si>
    <t>12.1.1</t>
  </si>
  <si>
    <t>Hairdressing salons and personal grooming establishments (S)</t>
  </si>
  <si>
    <t>12.1.2</t>
  </si>
  <si>
    <t>Electric appliances for personal care (SD)</t>
  </si>
  <si>
    <t>12.1.3</t>
  </si>
  <si>
    <t>Other appliances, articles and products for personal care (ND)</t>
  </si>
  <si>
    <t>Prostitution</t>
  </si>
  <si>
    <t>12.2.0</t>
  </si>
  <si>
    <t>Prostitution (S)</t>
  </si>
  <si>
    <t>Personal effects n.e.c.</t>
  </si>
  <si>
    <t>12.3.1</t>
  </si>
  <si>
    <t>Jewellery, clocks and watches (D)</t>
  </si>
  <si>
    <t>12.3.2</t>
  </si>
  <si>
    <t>Other personal effects  (SD)</t>
  </si>
  <si>
    <t>Social protection</t>
  </si>
  <si>
    <t>12.4.0</t>
  </si>
  <si>
    <t>Social protection (S)</t>
  </si>
  <si>
    <t>Insurance</t>
  </si>
  <si>
    <t>12.5.1</t>
  </si>
  <si>
    <t>Life insurance (S)</t>
  </si>
  <si>
    <t>12.5.2</t>
  </si>
  <si>
    <t>Insurance connected with the dwelling (S)</t>
  </si>
  <si>
    <t>12.5.3</t>
  </si>
  <si>
    <t>Insurance connected with health (S)</t>
  </si>
  <si>
    <t>12.5.4</t>
  </si>
  <si>
    <t>Insurance connected with transport (S)</t>
  </si>
  <si>
    <t>12.5.5</t>
  </si>
  <si>
    <t>Other insurance (S)</t>
  </si>
  <si>
    <t>Financial services n.e.c.</t>
  </si>
  <si>
    <t>12.6.1</t>
  </si>
  <si>
    <t>FISIM (S)</t>
  </si>
  <si>
    <t>12.6.2</t>
  </si>
  <si>
    <t>Other financial services n.e.c. (S)</t>
  </si>
  <si>
    <t>Other services n.e.c.</t>
  </si>
  <si>
    <t>12.7.0</t>
  </si>
  <si>
    <t>Other services n.e.c. (S)</t>
  </si>
  <si>
    <t>Individual consumption expenditure of non-profit institutions serving households (NPISHs)</t>
  </si>
  <si>
    <t>13.1.0</t>
  </si>
  <si>
    <t>Housing (S)</t>
  </si>
  <si>
    <t>13.2.1</t>
  </si>
  <si>
    <t>13.2.2</t>
  </si>
  <si>
    <t>13.2.3</t>
  </si>
  <si>
    <t>13.2.4</t>
  </si>
  <si>
    <t>Outpatient medical services (S)</t>
  </si>
  <si>
    <t>13.2.5</t>
  </si>
  <si>
    <t>Outpatient dental services (S)</t>
  </si>
  <si>
    <t>13.2.6</t>
  </si>
  <si>
    <t>Outpatient paramedical services (S)</t>
  </si>
  <si>
    <t>13.2.7</t>
  </si>
  <si>
    <t>13.2.8</t>
  </si>
  <si>
    <t>Other health services (S)</t>
  </si>
  <si>
    <t>13.3.1</t>
  </si>
  <si>
    <t>13.3.2</t>
  </si>
  <si>
    <t>13.4.1</t>
  </si>
  <si>
    <t>13.4.2</t>
  </si>
  <si>
    <t>13.4.3</t>
  </si>
  <si>
    <t>13.4.4</t>
  </si>
  <si>
    <t>13.4.5</t>
  </si>
  <si>
    <t>13.4.6</t>
  </si>
  <si>
    <t>Other educational services (S)</t>
  </si>
  <si>
    <t>13.5.0</t>
  </si>
  <si>
    <t>Other services</t>
  </si>
  <si>
    <t>13.6.1</t>
  </si>
  <si>
    <t>Religion (S)</t>
  </si>
  <si>
    <t>13.6.2</t>
  </si>
  <si>
    <t>Political parties, labour and professional organizations (S)</t>
  </si>
  <si>
    <t>13.6.3</t>
  </si>
  <si>
    <t>Environmental protection (S)</t>
  </si>
  <si>
    <t>13.6.4</t>
  </si>
  <si>
    <t>Services n.e.c. (S)</t>
  </si>
  <si>
    <t>Individual consumption expenditure of general government</t>
  </si>
  <si>
    <t>14.1.0</t>
  </si>
  <si>
    <t>14.2.1</t>
  </si>
  <si>
    <t>14.2.2</t>
  </si>
  <si>
    <t>14.2.3</t>
  </si>
  <si>
    <t>14.2.4</t>
  </si>
  <si>
    <t>14.2.5</t>
  </si>
  <si>
    <t>14.2.6</t>
  </si>
  <si>
    <t>14.2.7</t>
  </si>
  <si>
    <t>14.2.8</t>
  </si>
  <si>
    <t>Public health services (S)</t>
  </si>
  <si>
    <t>14.3.1</t>
  </si>
  <si>
    <t>14.3.2</t>
  </si>
  <si>
    <t>14.4.1</t>
  </si>
  <si>
    <t>14.4.2</t>
  </si>
  <si>
    <t>14.4.3</t>
  </si>
  <si>
    <t>14.4.4</t>
  </si>
  <si>
    <t>14.4.5</t>
  </si>
  <si>
    <t>14.4.6</t>
  </si>
  <si>
    <t>Subsidiary services to education (S)</t>
  </si>
  <si>
    <t>14.5.0</t>
  </si>
  <si>
    <t>ii</t>
  </si>
  <si>
    <t>i</t>
  </si>
  <si>
    <t>l</t>
  </si>
  <si>
    <t>a</t>
  </si>
  <si>
    <t>iii</t>
  </si>
  <si>
    <t>Level</t>
  </si>
  <si>
    <t>Can you map items to the following COICOP categories?</t>
  </si>
  <si>
    <t>1 Food and non-alcoholic beverages</t>
  </si>
  <si>
    <t>1.1 Food</t>
  </si>
  <si>
    <t>01.1.1 Bread and cereals (ND)</t>
  </si>
  <si>
    <t>01.1.2 Meat (ND)</t>
  </si>
  <si>
    <t>01.1.3 Fish and seafood (ND)</t>
  </si>
  <si>
    <t>01.1.4 Milk, cheese and eggs (ND)</t>
  </si>
  <si>
    <t>01.1.5 Oils and fats (ND)</t>
  </si>
  <si>
    <t>01.1.6 Fruit (ND)</t>
  </si>
  <si>
    <t>01.1.7 Vegetables (ND)</t>
  </si>
  <si>
    <t>01.1.8 Sugar, jam, honey, chocolate and confectionery (ND)</t>
  </si>
  <si>
    <t>01.1.9 Food products n.e.c. (ND)</t>
  </si>
  <si>
    <t>1.2 Non-alcoholic beverages</t>
  </si>
  <si>
    <t>01.2.1 Coffee, tea and cocoa (ND)</t>
  </si>
  <si>
    <t>01.2.2 Mineral waters, soft drinks, fruit and vegetable juices (ND)</t>
  </si>
  <si>
    <t>2 Alcoholic beverages, tobacco and narcotics</t>
  </si>
  <si>
    <t>2.1 Alcoholic beverages</t>
  </si>
  <si>
    <t>02.1.1 Spirits (ND)</t>
  </si>
  <si>
    <t>02.1.2 Wine (ND)</t>
  </si>
  <si>
    <t>02.1.3 Beer (ND)</t>
  </si>
  <si>
    <t>2.2 Tobacco</t>
  </si>
  <si>
    <t>02.2.0 Tobacco (ND)</t>
  </si>
  <si>
    <t>2.3 Narcotics</t>
  </si>
  <si>
    <t>02.3.0 Narcotics (ND)</t>
  </si>
  <si>
    <t>3 Clothing and footwear</t>
  </si>
  <si>
    <t>3.1 Clothing</t>
  </si>
  <si>
    <t>03.1.1 Clothing materials (SD)</t>
  </si>
  <si>
    <t>03.1.2 Garments (SD)</t>
  </si>
  <si>
    <t>03.1.3 Other articles of clothing and clothing accessories (SD)</t>
  </si>
  <si>
    <t>03.1.4 Cleaning, repair and hire of clothing (S)</t>
  </si>
  <si>
    <t>3.2 Footwear</t>
  </si>
  <si>
    <t>03.2.1 Shoes and other footwear (SD)</t>
  </si>
  <si>
    <t>03.2.2 Repair and hire of footwear (S)</t>
  </si>
  <si>
    <t>4 Housing, water, electricity, gas and other fuels</t>
  </si>
  <si>
    <t>4.1 Actual rentals for housing</t>
  </si>
  <si>
    <t>04.1.1 Actual rentals paid by tenants (S)</t>
  </si>
  <si>
    <t>04.1.2 Other actual rentals (S)</t>
  </si>
  <si>
    <t>4.2 Imputed rentals for housing</t>
  </si>
  <si>
    <t>04.2.1 Imputed rentals of owner-occupiers (S)</t>
  </si>
  <si>
    <t>04.2.2 Other imputed rentals (S)</t>
  </si>
  <si>
    <t>4.3 Maintenance and repair of the dwelling</t>
  </si>
  <si>
    <t>04.3.1 Materials for the maintenance and repair of the dwelling (ND)</t>
  </si>
  <si>
    <t>04.3.2 Services for the maintenance and repair of the dwelling (S)</t>
  </si>
  <si>
    <t>4.4 Water supply and miscellaneous services relating to the dwelling</t>
  </si>
  <si>
    <t>04.4.1 Water supply (ND)</t>
  </si>
  <si>
    <t>04.4.2 Refuse collection (S)</t>
  </si>
  <si>
    <t>04.4.3 Sewage collection (S)</t>
  </si>
  <si>
    <t>04.4.4 Other services relating to the dwelling n.e.c. (S)</t>
  </si>
  <si>
    <t>4.5 Electricity, gas and other fuels</t>
  </si>
  <si>
    <t>04.5.1 Electricity (ND)</t>
  </si>
  <si>
    <t>04.5.2 Gas (ND)</t>
  </si>
  <si>
    <t>04.5.3 Liquid fuels (ND)</t>
  </si>
  <si>
    <t>04.5.4 Solid fuels (ND)</t>
  </si>
  <si>
    <t>04.5.5 Heat energy (ND)</t>
  </si>
  <si>
    <t>5 Furnishings, household equipment and routine household maintenance</t>
  </si>
  <si>
    <t>5.1 Furniture and furnishings, carpets and other floor coverings</t>
  </si>
  <si>
    <t>05.1.1 Furniture and furnishings (D)</t>
  </si>
  <si>
    <t>05.1.2 Carpets and other floor coverings (D)</t>
  </si>
  <si>
    <t>05.1.3 Repair of furniture, furnishings and floor coverings (S)</t>
  </si>
  <si>
    <t>5.2 Household textiles</t>
  </si>
  <si>
    <t>05.2.0 Household textiles (SD)</t>
  </si>
  <si>
    <t>5.3 Household appliances</t>
  </si>
  <si>
    <t>05.3.1 Major household appliances whether electric or not (D)</t>
  </si>
  <si>
    <t>05.3.2 Small electric household appliances (SD)</t>
  </si>
  <si>
    <t>05.3.3 Repair of household appliances (S)</t>
  </si>
  <si>
    <t>5.4 Glassware, tableware and household utensils</t>
  </si>
  <si>
    <t>05.4.0 Glassware, tableware and household utensils (SD)</t>
  </si>
  <si>
    <t>5.5 Tools and equipment for house and garden</t>
  </si>
  <si>
    <t>05.5.1 Major tools and equipment (D)</t>
  </si>
  <si>
    <t>05.5.2 Small tools and miscellaneous accessories (SD)</t>
  </si>
  <si>
    <t>5.6 Goods and services for routine household maintenance</t>
  </si>
  <si>
    <t>05.6.1 Non-durable household goods (ND)</t>
  </si>
  <si>
    <t>05.6.2 Domestic services and household services (S)</t>
  </si>
  <si>
    <t>6 Health</t>
  </si>
  <si>
    <t>6.1 Medical products, appliances and equipment</t>
  </si>
  <si>
    <t>06.1.1 Pharmaceutical products (ND)</t>
  </si>
  <si>
    <t>06.1.2 Other medical products (ND)</t>
  </si>
  <si>
    <t>06.1.3 Therapeutic appliances and equipment (D)</t>
  </si>
  <si>
    <t>6.2 Outpatient services</t>
  </si>
  <si>
    <t>06.2.1 Medical services (S)</t>
  </si>
  <si>
    <t>06.2.2 Dental services (S)</t>
  </si>
  <si>
    <t>06.2.3 Paramedical services (S)</t>
  </si>
  <si>
    <t>6.3 Hospital services</t>
  </si>
  <si>
    <t>06.3.0 Hospital services (S)</t>
  </si>
  <si>
    <t>7 Transport</t>
  </si>
  <si>
    <t>7.1 Purchase of vehicles</t>
  </si>
  <si>
    <t>07.1.1 Motor cars (D)</t>
  </si>
  <si>
    <t>07.1.2 Motor cycles (D)</t>
  </si>
  <si>
    <t>07.1.3 Bicycles (D)</t>
  </si>
  <si>
    <t>07.1.4 Animal drawn vehicles (D)</t>
  </si>
  <si>
    <t>7.2 Operation of personal transport equipment</t>
  </si>
  <si>
    <t>07.2.1 Spare parts and accessories for personal transport equipment (SD)</t>
  </si>
  <si>
    <t>07.2.2 Fuels and lubricants for personal transport equipment (ND)</t>
  </si>
  <si>
    <t>07.2.3 Maintenance and repair of personal transport equipment (S)</t>
  </si>
  <si>
    <t>07.2.4 Other services in respect of personal transport equipment (S)</t>
  </si>
  <si>
    <t>7.3 Transport services</t>
  </si>
  <si>
    <t>07.3.1 Passenger transport by railway (S)</t>
  </si>
  <si>
    <t>07.3.2 Passenger transport by road (S)</t>
  </si>
  <si>
    <t>07.3.3 Passenger transport by air (S)</t>
  </si>
  <si>
    <t>07.3.4 Passenger transport by sea and inland waterway (S)</t>
  </si>
  <si>
    <t>07.3.5 Combined passenger transport (S)</t>
  </si>
  <si>
    <t>07.3.6 Other purchased transport services (S)</t>
  </si>
  <si>
    <t>8 Communication</t>
  </si>
  <si>
    <t>8.1 Postal services</t>
  </si>
  <si>
    <t>08.1.0 Postal services (S)</t>
  </si>
  <si>
    <t>8.2 Telephone and telefax equipment</t>
  </si>
  <si>
    <t>08.2.0 Telephone and telefax equipment (D)</t>
  </si>
  <si>
    <t>8.3 Telephone and telefax services</t>
  </si>
  <si>
    <t>08.3.0 Telephone and telefax services (S)</t>
  </si>
  <si>
    <t>9 Recreation and culture</t>
  </si>
  <si>
    <t>9.1 Audio-visual, photographic and information processing equipment</t>
  </si>
  <si>
    <t>09.1.1 Equipment for the reception, recording and reproduction of sound and pictures (D)</t>
  </si>
  <si>
    <t>09.1.2 Photographic and cinematographic equipment and optical instruments (D)</t>
  </si>
  <si>
    <t>09.1.3 Information processing equipment (D)</t>
  </si>
  <si>
    <t>09.1.4 Recording media (SD)</t>
  </si>
  <si>
    <t>09.1.5 Repair of audio-visual, photographic and information processing equipment (S)</t>
  </si>
  <si>
    <t>9.2 Other major durables for recreation and culture</t>
  </si>
  <si>
    <t>09.2.1 Major durables for outdoor recreation (D)</t>
  </si>
  <si>
    <t>09.2.2 Musical instruments and major durables for indoor recreation (D)</t>
  </si>
  <si>
    <t>09.2.3 Maintenance and repair of other major durables for recreation and culture (S)</t>
  </si>
  <si>
    <t>9.3 Other recreational items and equipment, gardens and pets</t>
  </si>
  <si>
    <t>09.3.1 Games, toys and hobbies (SD)</t>
  </si>
  <si>
    <t>09.3.2 Equipment for sport, camping and open-air recreation (SD)</t>
  </si>
  <si>
    <t>09.3.3 Gardens, plants and flowers (ND)</t>
  </si>
  <si>
    <t>09.3.4 Pets and related products (ND)</t>
  </si>
  <si>
    <t>09.3.5 Veterinary and other services for pets (S)</t>
  </si>
  <si>
    <t>9.4 Recreational and cultural services</t>
  </si>
  <si>
    <t>09.4.1 Recreational and sporting services (S)</t>
  </si>
  <si>
    <t>09.4.2 Cultural services (S)</t>
  </si>
  <si>
    <t>09.4.3 Games of chance (S)</t>
  </si>
  <si>
    <t>9.5 Newspapers, books and stationery</t>
  </si>
  <si>
    <t>09.5.1 Books (SD)</t>
  </si>
  <si>
    <t>09.5.2 Newspapers and periodicals (ND)</t>
  </si>
  <si>
    <t>09.5.3 Miscellaneous printed matter (ND)</t>
  </si>
  <si>
    <t>09.5.4 Stationery and drawing materials (ND)</t>
  </si>
  <si>
    <t>9.6 Package holidays</t>
  </si>
  <si>
    <t>09.6.0 Package holidays (S)</t>
  </si>
  <si>
    <t>10 Education</t>
  </si>
  <si>
    <t>10.1 Pre-primary and primary education</t>
  </si>
  <si>
    <t>10.1.0 Pre-primary and primary education (S)</t>
  </si>
  <si>
    <t>10.2 Secondary education</t>
  </si>
  <si>
    <t>10.2.0 Secondary education (S)</t>
  </si>
  <si>
    <t>10.3 Post-secondary non-tertiary education</t>
  </si>
  <si>
    <t>10.3.0 Post-secondary non-tertiary education (S)</t>
  </si>
  <si>
    <t>10.4 Tertiary education</t>
  </si>
  <si>
    <t>10.4.0 Tertiary education (S)</t>
  </si>
  <si>
    <t>10.5 Education not definable by level</t>
  </si>
  <si>
    <t>10.5.0 Education not definable by level (S)</t>
  </si>
  <si>
    <t>11 Restaurants and hotels</t>
  </si>
  <si>
    <t>11.1 Catering services</t>
  </si>
  <si>
    <t>11.1.1 Restaurants, cafés and the like (S)</t>
  </si>
  <si>
    <t>11.1.2 Canteens (S)</t>
  </si>
  <si>
    <t>11.2 Accommodation services</t>
  </si>
  <si>
    <t>11.2.0 Accommodation services (S)</t>
  </si>
  <si>
    <t>12 Miscellaneous goods and services</t>
  </si>
  <si>
    <t>12.1 Personal care</t>
  </si>
  <si>
    <t>12.1.1 Hairdressing salons and personal grooming establishments (S)</t>
  </si>
  <si>
    <t>12.1.2 Electric appliances for personal care (SD)</t>
  </si>
  <si>
    <t>12.1.3 Other appliances, articles and products for personal care (ND)</t>
  </si>
  <si>
    <t>12.2 Prostitution</t>
  </si>
  <si>
    <t>12.2.0 Prostitution (S)</t>
  </si>
  <si>
    <t>12.3 Personal effects n.e.c.</t>
  </si>
  <si>
    <t>12.3.1 Jewellery, clocks and watches (D)</t>
  </si>
  <si>
    <t>12.3.2 Other personal effects  (SD)</t>
  </si>
  <si>
    <t>12.4 Social protection</t>
  </si>
  <si>
    <t>12.4.0 Social protection (S)</t>
  </si>
  <si>
    <t>12.5 Insurance</t>
  </si>
  <si>
    <t>12.5.1 Life insurance (S)</t>
  </si>
  <si>
    <t>12.5.2 Insurance connected with the dwelling (S)</t>
  </si>
  <si>
    <t>12.5.3 Insurance connected with health (S)</t>
  </si>
  <si>
    <t>12.5.4 Insurance connected with transport (S)</t>
  </si>
  <si>
    <t>12.5.5 Other insurance (S)</t>
  </si>
  <si>
    <t>12.6 Financial services n.e.c.</t>
  </si>
  <si>
    <t>12.6.1 FISIM (S)</t>
  </si>
  <si>
    <t>12.6.2 Other financial services n.e.c. (S)</t>
  </si>
  <si>
    <t>12.7 Other services n.e.c.</t>
  </si>
  <si>
    <t>12.7.0 Other services n.e.c. (S)</t>
  </si>
  <si>
    <t>13 Individual consumption expenditure of non-profit institutions serving households (NPISHs)</t>
  </si>
  <si>
    <t>13.1 Housing</t>
  </si>
  <si>
    <t>13.1.0 Housing (S)</t>
  </si>
  <si>
    <t>13.2 Health</t>
  </si>
  <si>
    <t>13.2.1 Pharmaceutical products (ND)</t>
  </si>
  <si>
    <t>13.2.2 Other medical products (ND)</t>
  </si>
  <si>
    <t>13.2.3 Therapeutic appliances and equipment (D)</t>
  </si>
  <si>
    <t>13.2.4 Outpatient medical services (S)</t>
  </si>
  <si>
    <t>13.2.5 Outpatient dental services (S)</t>
  </si>
  <si>
    <t>13.2.6 Outpatient paramedical services (S)</t>
  </si>
  <si>
    <t>13.2.7 Hospital services (S)</t>
  </si>
  <si>
    <t>13.2.8 Other health services (S)</t>
  </si>
  <si>
    <t>13.3 Recreation and culture</t>
  </si>
  <si>
    <t>13.3.1 Recreational and sporting services (S)</t>
  </si>
  <si>
    <t>13.3.2 Cultural services (S)</t>
  </si>
  <si>
    <t>13.4 Education</t>
  </si>
  <si>
    <t>13.4.1 Pre-primary and primary education (S)</t>
  </si>
  <si>
    <t>13.4.2 Secondary education (S)</t>
  </si>
  <si>
    <t>13.4.3 Post-secondary non-tertiary education (S)</t>
  </si>
  <si>
    <t>13.4.4 Tertiary education (S)</t>
  </si>
  <si>
    <t>13.4.5 Education not definable by level (S)</t>
  </si>
  <si>
    <t>13.4.6 Other educational services (S)</t>
  </si>
  <si>
    <t>13.5 Social protection</t>
  </si>
  <si>
    <t>13.5.0 Social protection (S)</t>
  </si>
  <si>
    <t>13.6 Other services</t>
  </si>
  <si>
    <t>13.6.1 Religion (S)</t>
  </si>
  <si>
    <t>13.6.2 Political parties, labour and professional organizations (S)</t>
  </si>
  <si>
    <t>13.6.3 Environmental protection (S)</t>
  </si>
  <si>
    <t>13.6.4 Services n.e.c. (S)</t>
  </si>
  <si>
    <t>14 Individual consumption expenditure of general government</t>
  </si>
  <si>
    <t>14.1 Housing</t>
  </si>
  <si>
    <t>14.1.0 Housing (S)</t>
  </si>
  <si>
    <t>14.2 Health</t>
  </si>
  <si>
    <t>14.2.1 Pharmaceutical products (ND)</t>
  </si>
  <si>
    <t>14.2.2 Other medical products (ND)</t>
  </si>
  <si>
    <t>14.2.3 Therapeutic appliances and equipment (D)</t>
  </si>
  <si>
    <t>14.2.4 Outpatient medical services (S)</t>
  </si>
  <si>
    <t>14.2.5 Outpatient dental services (S)</t>
  </si>
  <si>
    <t>14.2.6 Outpatient paramedical services (S)</t>
  </si>
  <si>
    <t>14.2.7 Hospital services (S)</t>
  </si>
  <si>
    <t>14.2.8 Public health services (S)</t>
  </si>
  <si>
    <t>14.3 Recreation and culture</t>
  </si>
  <si>
    <t>14.3.1 Recreational and sporting services (S)</t>
  </si>
  <si>
    <t>14.3.2 Cultural services (S)</t>
  </si>
  <si>
    <t>14.4 Education</t>
  </si>
  <si>
    <t>14.4.1 Pre-primary and primary education (S)</t>
  </si>
  <si>
    <t>14.4.2 Secondary education (S)</t>
  </si>
  <si>
    <t>14.4.3 Post-secondary non-tertiary education (S)</t>
  </si>
  <si>
    <t>14.4.4 Tertiary education (S)</t>
  </si>
  <si>
    <t>14.4.5 Education not definable by level (S)</t>
  </si>
  <si>
    <t>14.4.6 Subsidiary services to education (S)</t>
  </si>
  <si>
    <t>14.5 Social protection</t>
  </si>
  <si>
    <t>14.5.0 Social protection (S)</t>
  </si>
  <si>
    <t>Question identifier</t>
  </si>
  <si>
    <t>country</t>
  </si>
  <si>
    <t>year</t>
  </si>
  <si>
    <t>survey_name</t>
  </si>
  <si>
    <t>Question identifier 2</t>
  </si>
  <si>
    <t>b</t>
  </si>
  <si>
    <t>g</t>
  </si>
  <si>
    <t>h</t>
  </si>
  <si>
    <t>c</t>
  </si>
  <si>
    <t>d</t>
  </si>
  <si>
    <t>e</t>
  </si>
  <si>
    <t>n</t>
  </si>
  <si>
    <t>f</t>
  </si>
  <si>
    <t>j</t>
  </si>
  <si>
    <t>k</t>
  </si>
  <si>
    <t>m</t>
  </si>
  <si>
    <t>Other (specify in comments)</t>
  </si>
  <si>
    <t>Food produced at home</t>
  </si>
  <si>
    <t>What is the unit of measure for food  produced at home?</t>
  </si>
  <si>
    <t>Is there information mortgage payments?</t>
  </si>
  <si>
    <t>ND</t>
  </si>
  <si>
    <t>SD</t>
  </si>
  <si>
    <t>S</t>
  </si>
  <si>
    <t>D</t>
  </si>
  <si>
    <t>NPISHs</t>
  </si>
  <si>
    <t>Is there information on imputed rents?</t>
  </si>
  <si>
    <t>What is the unit of measure for durables?</t>
  </si>
  <si>
    <t>What is the recall period for durables?</t>
  </si>
  <si>
    <t>Non-food</t>
  </si>
  <si>
    <t>What is the unit of measure for non-food consumption?</t>
  </si>
  <si>
    <t>Are there in-kind transfers?</t>
  </si>
  <si>
    <t>What is the recall period for non-food consumption at home?</t>
  </si>
  <si>
    <t>What is the recall period for in-kind transfers?</t>
  </si>
  <si>
    <t>Concatenated</t>
  </si>
  <si>
    <t>Type</t>
  </si>
  <si>
    <t>Is there information on dwelling attributes?</t>
  </si>
  <si>
    <t>COICOP</t>
  </si>
  <si>
    <t>Can you map items to the following 2-digit COICOP categories?</t>
  </si>
  <si>
    <t>Argentina</t>
  </si>
  <si>
    <t>Bahamas</t>
  </si>
  <si>
    <t>Belize</t>
  </si>
  <si>
    <t>Bolivia</t>
  </si>
  <si>
    <t>Brazil</t>
  </si>
  <si>
    <t>Colombia</t>
  </si>
  <si>
    <t>Costa Rica</t>
  </si>
  <si>
    <t>Chile</t>
  </si>
  <si>
    <t>Ecuador</t>
  </si>
  <si>
    <t>El Salvador</t>
  </si>
  <si>
    <t>Guatemala</t>
  </si>
  <si>
    <t>Guyana</t>
  </si>
  <si>
    <t>Haiti</t>
  </si>
  <si>
    <t>Honduras</t>
  </si>
  <si>
    <t>Jamaica</t>
  </si>
  <si>
    <t>Mexico</t>
  </si>
  <si>
    <t>Nicaragua</t>
  </si>
  <si>
    <t>Panama</t>
  </si>
  <si>
    <t>Paraguay</t>
  </si>
  <si>
    <t>Peru</t>
  </si>
  <si>
    <t>Suriname</t>
  </si>
  <si>
    <t>St Lucia</t>
  </si>
  <si>
    <t>Uruguay</t>
  </si>
  <si>
    <t>Venezuela</t>
  </si>
  <si>
    <t>Country_name</t>
  </si>
  <si>
    <t>survey_year</t>
  </si>
  <si>
    <t>Survey_unit</t>
  </si>
  <si>
    <t>survey_col_period</t>
  </si>
  <si>
    <t>No_yes_questions</t>
  </si>
  <si>
    <t>No_yes_questions_2</t>
  </si>
  <si>
    <t>3-4 months</t>
  </si>
  <si>
    <t>5-6 months</t>
  </si>
  <si>
    <t>More than 6 months</t>
  </si>
  <si>
    <t>Recall_periods</t>
  </si>
  <si>
    <t>Quantities</t>
  </si>
  <si>
    <t>Both quantities and pecuniary</t>
  </si>
  <si>
    <t>Value_goods</t>
  </si>
  <si>
    <t>Dominican Republic</t>
  </si>
  <si>
    <t>None</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</si>
  <si>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</si>
  <si>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</si>
  <si>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</si>
  <si>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</si>
  <si>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</si>
  <si>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</si>
  <si>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</si>
  <si>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</si>
  <si>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</si>
  <si>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</si>
  <si>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</si>
  <si>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</si>
  <si>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</si>
  <si>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</si>
  <si>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</si>
  <si>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</si>
  <si>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</si>
  <si>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</si>
  <si>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</si>
  <si>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</si>
  <si>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</si>
  <si>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</si>
  <si>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</si>
  <si>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</si>
  <si>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</si>
  <si>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</si>
  <si>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</si>
  <si>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</si>
  <si>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</si>
  <si>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</si>
  <si>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</si>
  <si>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</si>
  <si>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</si>
  <si>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Variable_name</t>
  </si>
  <si>
    <t>Q_1_a</t>
  </si>
  <si>
    <t>Q_1_b</t>
  </si>
  <si>
    <t>Q_1_c</t>
  </si>
  <si>
    <t>Q_1_d</t>
  </si>
  <si>
    <t>Q_1_e</t>
  </si>
  <si>
    <t>Q_2</t>
  </si>
  <si>
    <t>Q_3</t>
  </si>
  <si>
    <t>Q_4</t>
  </si>
  <si>
    <t>Q_5</t>
  </si>
  <si>
    <t>Q_7</t>
  </si>
  <si>
    <t>Q_26</t>
  </si>
  <si>
    <t>Q_27</t>
  </si>
  <si>
    <t>Stata code for naming the variable</t>
  </si>
  <si>
    <t>Area of the dwelling</t>
  </si>
  <si>
    <t>Sampling  with replacement?</t>
  </si>
  <si>
    <t>data_capture method</t>
  </si>
  <si>
    <t>Diary</t>
  </si>
  <si>
    <t>Recall</t>
  </si>
  <si>
    <t>Q_6</t>
  </si>
  <si>
    <t>Q_28</t>
  </si>
  <si>
    <t>Q_29</t>
  </si>
  <si>
    <t>Q_30</t>
  </si>
  <si>
    <t>Q_31</t>
  </si>
  <si>
    <t>Q_32</t>
  </si>
  <si>
    <t>What is the purpose of the survey?</t>
  </si>
  <si>
    <t>What is the reference period for data collection?</t>
  </si>
  <si>
    <t>Does the survey collect data on quantities?</t>
  </si>
  <si>
    <t>Does the survey collect data on values?</t>
  </si>
  <si>
    <t xml:space="preserve">Total number of food items </t>
  </si>
  <si>
    <t xml:space="preserve">Total number of non-food items </t>
  </si>
  <si>
    <t xml:space="preserve">For all 1-digit COICOP Categories </t>
  </si>
  <si>
    <t>Does the survey collect information on consumption or expenditures?</t>
  </si>
  <si>
    <t>What is the method of data capture?</t>
  </si>
  <si>
    <t>Others (specify in comments)</t>
  </si>
  <si>
    <t>Electricity (list categories in comments)</t>
  </si>
  <si>
    <t>Santiation (list categories in comments)</t>
  </si>
  <si>
    <t>Water (list categories in comments)</t>
  </si>
  <si>
    <t>Other services, e.g. internet, garbage collection, etc. (list in comments)</t>
  </si>
  <si>
    <t>Is there information on imputed rents?  (If yes, describe in comments the method used)</t>
  </si>
  <si>
    <t>Access to public transportation</t>
  </si>
  <si>
    <t>1-day/24-hour diary</t>
  </si>
  <si>
    <t>1 week/7-day diary</t>
  </si>
  <si>
    <t>2 weeks/14-day diary</t>
  </si>
  <si>
    <t>1-month</t>
  </si>
  <si>
    <t>2 months</t>
  </si>
  <si>
    <t>data type</t>
  </si>
  <si>
    <t>Consumption</t>
  </si>
  <si>
    <t>Expenditure</t>
  </si>
  <si>
    <t>Food_outside</t>
  </si>
  <si>
    <t>Consumption/expenditures  module</t>
  </si>
  <si>
    <t>Agricultural production module</t>
  </si>
  <si>
    <t>Is there information about the recall period for durables (if any)?</t>
  </si>
  <si>
    <t>Is there information about the year of purchase/acquisition of durable goods?</t>
  </si>
  <si>
    <t>Is there information about the value of durable goods at purchase?</t>
  </si>
  <si>
    <t>Does the survey collect data on quantities for durables?</t>
  </si>
  <si>
    <t>Does the survey collect data on values for durables?</t>
  </si>
  <si>
    <t>Is there information about the current value of the good?</t>
  </si>
  <si>
    <t>Is there information on in-kind transfers of durable goods to the household?</t>
  </si>
  <si>
    <t xml:space="preserve">Total number of durable items </t>
  </si>
  <si>
    <t>Q_9_a</t>
  </si>
  <si>
    <t>Q_9_b</t>
  </si>
  <si>
    <t>Q_9_c</t>
  </si>
  <si>
    <t>Q_9_d</t>
  </si>
  <si>
    <t>Q_9_e</t>
  </si>
  <si>
    <t>Q_10_a</t>
  </si>
  <si>
    <t>Q_10_b</t>
  </si>
  <si>
    <t>Q_10_c</t>
  </si>
  <si>
    <t>Q_10_d</t>
  </si>
  <si>
    <t>Q_10_e</t>
  </si>
  <si>
    <t>Q_11_a</t>
  </si>
  <si>
    <t>Q_11_b</t>
  </si>
  <si>
    <t>Q_11_c</t>
  </si>
  <si>
    <t>Q_11_d</t>
  </si>
  <si>
    <t>Q_12_a</t>
  </si>
  <si>
    <t>Q_12_b</t>
  </si>
  <si>
    <t>Q_12_c</t>
  </si>
  <si>
    <t>Q_12_d</t>
  </si>
  <si>
    <t>Q_15_a</t>
  </si>
  <si>
    <t>Q_15_b</t>
  </si>
  <si>
    <t>Q_15_c</t>
  </si>
  <si>
    <t>Q_15_d</t>
  </si>
  <si>
    <t>Q_16_a</t>
  </si>
  <si>
    <t>Q_16_b</t>
  </si>
  <si>
    <t>Q_16_c</t>
  </si>
  <si>
    <t>Q_16_d</t>
  </si>
  <si>
    <t>Q_17_a</t>
  </si>
  <si>
    <t>Q_17_b</t>
  </si>
  <si>
    <t>Q_17_c</t>
  </si>
  <si>
    <t>Q_17_d</t>
  </si>
  <si>
    <t>Q_18_a</t>
  </si>
  <si>
    <t>Q_18_b</t>
  </si>
  <si>
    <t>Q_18_c</t>
  </si>
  <si>
    <t>Q_18_d</t>
  </si>
  <si>
    <t>Q_19_a</t>
  </si>
  <si>
    <t>Q_19_b</t>
  </si>
  <si>
    <t>Q_19_c</t>
  </si>
  <si>
    <t>Q_19_d</t>
  </si>
  <si>
    <t>Q_20_a</t>
  </si>
  <si>
    <t>Q_20_b</t>
  </si>
  <si>
    <t>Q_20_c</t>
  </si>
  <si>
    <t>Q_20_d</t>
  </si>
  <si>
    <t>Q_21_a</t>
  </si>
  <si>
    <t>Q_21_b</t>
  </si>
  <si>
    <t>Q_21_c</t>
  </si>
  <si>
    <t>Q_21_d</t>
  </si>
  <si>
    <t>Q_22_a</t>
  </si>
  <si>
    <t>Q_22_b</t>
  </si>
  <si>
    <t>Q_22_c</t>
  </si>
  <si>
    <t>Q_22_d</t>
  </si>
  <si>
    <t>Q_23_a</t>
  </si>
  <si>
    <t>Q_23_b</t>
  </si>
  <si>
    <t>Q_23_c</t>
  </si>
  <si>
    <t>Q_23_d</t>
  </si>
  <si>
    <t>Q_24_a</t>
  </si>
  <si>
    <t>Q_24_b</t>
  </si>
  <si>
    <t>Q_24_c</t>
  </si>
  <si>
    <t>Q_24_d</t>
  </si>
  <si>
    <t>Q_36_a</t>
  </si>
  <si>
    <t>Q_36_b</t>
  </si>
  <si>
    <t>Q_37_a</t>
  </si>
  <si>
    <t>Q_37_b</t>
  </si>
  <si>
    <t>Q_38_a</t>
  </si>
  <si>
    <t>Q_38_b</t>
  </si>
  <si>
    <t>Q_39_a</t>
  </si>
  <si>
    <t>Q_39_b</t>
  </si>
  <si>
    <t>Q_39_c</t>
  </si>
  <si>
    <t>Q_39_d</t>
  </si>
  <si>
    <t>What is the method of data capture for food produced at home?</t>
  </si>
  <si>
    <t>ENAHO</t>
  </si>
  <si>
    <t>Pobreza</t>
  </si>
  <si>
    <t>Stratified by areas, probabilistic, multistage</t>
  </si>
  <si>
    <t>Don't confuse with PSU</t>
  </si>
  <si>
    <t>Usually found in module on housing characteristics</t>
  </si>
  <si>
    <t>Information available in technical documentation</t>
  </si>
  <si>
    <t>n/a</t>
  </si>
  <si>
    <t>Information available in consumption/expenditures module</t>
  </si>
  <si>
    <t>Is there information on in-kind transfers to/from the household?</t>
  </si>
  <si>
    <t>Lives in tertiary sampling unit, dwelling</t>
  </si>
  <si>
    <t>Found in education module</t>
  </si>
  <si>
    <t>Found in health module</t>
  </si>
  <si>
    <t>Q_8</t>
  </si>
  <si>
    <t>Q_11_e</t>
  </si>
  <si>
    <t>Q_11_f</t>
  </si>
  <si>
    <t>Q_13_a</t>
  </si>
  <si>
    <t>Q_13_b</t>
  </si>
  <si>
    <t>Q_13_c</t>
  </si>
  <si>
    <t>Q_13_d</t>
  </si>
  <si>
    <t>Q_14</t>
  </si>
  <si>
    <t>Q_25_a</t>
  </si>
  <si>
    <t>Q_25_b</t>
  </si>
  <si>
    <t>Q_25_c</t>
  </si>
  <si>
    <t>Q_25_d</t>
  </si>
  <si>
    <t>Q_33</t>
  </si>
  <si>
    <t>Q_34_a</t>
  </si>
  <si>
    <t>Q_34_b</t>
  </si>
  <si>
    <t>Q_35</t>
  </si>
  <si>
    <t>Q_39_e</t>
  </si>
  <si>
    <t>Q_39_f</t>
  </si>
  <si>
    <t>Q_39_g</t>
  </si>
  <si>
    <t>Q_39_h</t>
  </si>
  <si>
    <t>Q_39_i</t>
  </si>
  <si>
    <t>Q_39_j</t>
  </si>
  <si>
    <t>Q_39_k</t>
  </si>
  <si>
    <t>Q_40_a</t>
  </si>
  <si>
    <t>Q_40_b</t>
  </si>
  <si>
    <t>Q_40_c</t>
  </si>
  <si>
    <t>Q_40_d</t>
  </si>
  <si>
    <t>Q_41</t>
  </si>
  <si>
    <t>Q_42_a</t>
  </si>
  <si>
    <t>Q_42_b</t>
  </si>
  <si>
    <t>Q_42_c</t>
  </si>
  <si>
    <t>Q_42_d</t>
  </si>
  <si>
    <t>Q_42_e</t>
  </si>
  <si>
    <t>Q_42_f</t>
  </si>
  <si>
    <t>Q_42_g</t>
  </si>
  <si>
    <t>Q_42_h</t>
  </si>
  <si>
    <t>Q_42_i</t>
  </si>
  <si>
    <t>Q_42_j</t>
  </si>
  <si>
    <t>Q_42_k</t>
  </si>
  <si>
    <t>Q_42_l</t>
  </si>
  <si>
    <t>Q_42_m</t>
  </si>
  <si>
    <t>Q_42_n</t>
  </si>
  <si>
    <t>Q_42_o</t>
  </si>
  <si>
    <t>Q_42_p</t>
  </si>
  <si>
    <t>Q_42_q</t>
  </si>
  <si>
    <t>Q_42_r</t>
  </si>
  <si>
    <t>Q_42_s</t>
  </si>
  <si>
    <t>Q_42_t</t>
  </si>
  <si>
    <t>Q_42_u</t>
  </si>
  <si>
    <t>Q_42_v</t>
  </si>
  <si>
    <t>Q_42_w</t>
  </si>
  <si>
    <t>Q_42_x</t>
  </si>
  <si>
    <t>Q_42_y</t>
  </si>
  <si>
    <t>Q_42_z</t>
  </si>
  <si>
    <t>Q_42_aa</t>
  </si>
  <si>
    <t>Q_42_ab</t>
  </si>
  <si>
    <t>Q_42_ac</t>
  </si>
  <si>
    <t>Q_42_ad</t>
  </si>
  <si>
    <t>Q_42_ae</t>
  </si>
  <si>
    <t>Q_42_af</t>
  </si>
  <si>
    <t>Q_42_ag</t>
  </si>
  <si>
    <t>Q_42_ah</t>
  </si>
  <si>
    <t>Q_42_ai</t>
  </si>
  <si>
    <t>Q_42_aj</t>
  </si>
  <si>
    <t>Q_42_ak</t>
  </si>
  <si>
    <t>Q_42_al</t>
  </si>
  <si>
    <t>Q_42_am</t>
  </si>
  <si>
    <t>Q_42_an</t>
  </si>
  <si>
    <t>Q_42_ao</t>
  </si>
  <si>
    <t>Q_42_ap</t>
  </si>
  <si>
    <t>Q_42_aq</t>
  </si>
  <si>
    <t>Q_42_ar</t>
  </si>
  <si>
    <t>Q_42_as</t>
  </si>
  <si>
    <t>Q_42_at</t>
  </si>
  <si>
    <t>Q_42_au</t>
  </si>
  <si>
    <t>purpose</t>
  </si>
  <si>
    <t>What is the unit of observation?</t>
  </si>
  <si>
    <t>Sampling_units</t>
  </si>
  <si>
    <t>How many sampling units does the survey have (specify in comments)?</t>
  </si>
  <si>
    <t>Regional (specify in comments)</t>
  </si>
  <si>
    <t>9 or more</t>
  </si>
  <si>
    <t>National rate of non-response % (if available)</t>
  </si>
  <si>
    <t>Quarter-long (specify in comments)</t>
  </si>
  <si>
    <t>Poverty</t>
  </si>
  <si>
    <t>Typo_informante</t>
  </si>
  <si>
    <t>Type of informant (if available)?</t>
  </si>
  <si>
    <t>Direct</t>
  </si>
  <si>
    <t>Ideal</t>
  </si>
  <si>
    <t>Number of households interviewed (if available)?</t>
  </si>
  <si>
    <t>Is there information on self-reported rent (write down the question in comments)?</t>
  </si>
  <si>
    <t>Both</t>
  </si>
  <si>
    <t>Q_9</t>
  </si>
  <si>
    <t>Q_12_e</t>
  </si>
  <si>
    <t>Q_12_f</t>
  </si>
  <si>
    <t>Q_14_a</t>
  </si>
  <si>
    <t>Q_14_b</t>
  </si>
  <si>
    <t>Q_14_c</t>
  </si>
  <si>
    <t>Q_14_d</t>
  </si>
  <si>
    <t>Q_15</t>
  </si>
  <si>
    <t>Q_26_a</t>
  </si>
  <si>
    <t>Q_26_b</t>
  </si>
  <si>
    <t>Q_26_c</t>
  </si>
  <si>
    <t>Q_26_d</t>
  </si>
  <si>
    <t>Q_34</t>
  </si>
  <si>
    <t>Q_35_a</t>
  </si>
  <si>
    <t>Q_35_b</t>
  </si>
  <si>
    <t>Q_36</t>
  </si>
  <si>
    <t>Q_40_e</t>
  </si>
  <si>
    <t>Q_40_f</t>
  </si>
  <si>
    <t>Q_40_g</t>
  </si>
  <si>
    <t>Q_40_h</t>
  </si>
  <si>
    <t>Q_40_i</t>
  </si>
  <si>
    <t>Q_40_j</t>
  </si>
  <si>
    <t>Q_40_k</t>
  </si>
  <si>
    <t>Q_41_a</t>
  </si>
  <si>
    <t>Q_41_b</t>
  </si>
  <si>
    <t>Q_41_c</t>
  </si>
  <si>
    <t>Q_41_d</t>
  </si>
  <si>
    <t>Q_42</t>
  </si>
  <si>
    <t>Q_43_a</t>
  </si>
  <si>
    <t>Q_43_b</t>
  </si>
  <si>
    <t>Q_43_c</t>
  </si>
  <si>
    <t>Q_43_d</t>
  </si>
  <si>
    <t>Q_43_e</t>
  </si>
  <si>
    <t>Q_43_f</t>
  </si>
  <si>
    <t>Q_43_g</t>
  </si>
  <si>
    <t>Q_43_h</t>
  </si>
  <si>
    <t>Q_43_i</t>
  </si>
  <si>
    <t>Q_43_j</t>
  </si>
  <si>
    <t>Q_43_k</t>
  </si>
  <si>
    <t>Q_43_l</t>
  </si>
  <si>
    <t>Q_43_m</t>
  </si>
  <si>
    <t>Q_43_n</t>
  </si>
  <si>
    <t>Q_43_o</t>
  </si>
  <si>
    <t>Q_43_p</t>
  </si>
  <si>
    <t>Q_43_q</t>
  </si>
  <si>
    <t>Q_43_r</t>
  </si>
  <si>
    <t>Q_43_s</t>
  </si>
  <si>
    <t>Q_43_t</t>
  </si>
  <si>
    <t>Q_43_u</t>
  </si>
  <si>
    <t>Q_43_v</t>
  </si>
  <si>
    <t>Q_43_w</t>
  </si>
  <si>
    <t>Q_43_x</t>
  </si>
  <si>
    <t>Q_43_y</t>
  </si>
  <si>
    <t>Q_43_z</t>
  </si>
  <si>
    <t>Q_43_aa</t>
  </si>
  <si>
    <t>Q_43_ab</t>
  </si>
  <si>
    <t>Q_43_ac</t>
  </si>
  <si>
    <t>Q_43_ad</t>
  </si>
  <si>
    <t>Q_43_ae</t>
  </si>
  <si>
    <t>Q_43_af</t>
  </si>
  <si>
    <t>Q_43_ag</t>
  </si>
  <si>
    <t>Q_43_ah</t>
  </si>
  <si>
    <t>Q_43_ai</t>
  </si>
  <si>
    <t>Q_43_aj</t>
  </si>
  <si>
    <t>Q_43_ak</t>
  </si>
  <si>
    <t>Q_43_al</t>
  </si>
  <si>
    <t>Q_43_am</t>
  </si>
  <si>
    <t>Q_43_an</t>
  </si>
  <si>
    <t>Q_43_ao</t>
  </si>
  <si>
    <t>Q_43_ap</t>
  </si>
  <si>
    <t>Q_43_aq</t>
  </si>
  <si>
    <t>Q_43_ar</t>
  </si>
  <si>
    <t>Q_43_as</t>
  </si>
  <si>
    <t>Q_43_at</t>
  </si>
  <si>
    <t>Q_43_au</t>
  </si>
  <si>
    <t>other_purposes</t>
  </si>
  <si>
    <t>other purposes</t>
  </si>
  <si>
    <t>Is the survey used for other purposes (specify in comments if info. available)?</t>
  </si>
  <si>
    <t>(Select from dropdown menu)</t>
  </si>
  <si>
    <t>.</t>
  </si>
  <si>
    <t>Instructions</t>
  </si>
  <si>
    <r>
      <t xml:space="preserve">The metadata formulary is divided in 7 seccions. In the </t>
    </r>
    <r>
      <rPr>
        <b/>
        <sz val="11"/>
        <color theme="1"/>
        <rFont val="Calibri"/>
        <family val="2"/>
        <scheme val="minor"/>
      </rPr>
      <t xml:space="preserve">General </t>
    </r>
    <r>
      <rPr>
        <sz val="11"/>
        <color theme="1"/>
        <rFont val="Calibri"/>
        <family val="2"/>
        <scheme val="minor"/>
      </rPr>
      <t xml:space="preserve">section the data-harmonizer shall introduce the basic information for the survey (country-year) he/she will harmonize.  In the </t>
    </r>
    <r>
      <rPr>
        <b/>
        <sz val="11"/>
        <color theme="1"/>
        <rFont val="Calibri"/>
        <family val="2"/>
        <scheme val="minor"/>
      </rPr>
      <t>Sampling Frame</t>
    </r>
    <r>
      <rPr>
        <sz val="11"/>
        <color theme="1"/>
        <rFont val="Calibri"/>
        <family val="2"/>
        <scheme val="minor"/>
      </rPr>
      <t xml:space="preserve"> section the data-harmonizer shall introduce the information regarding the survey's sampling frame (see Section 6 of the harmonizer's manual). This information is usually included in the technical documents. Often this information is disperse in several technical documents. Thus the data harmonizer can make use of key words (e.g., "muestreo", "tasa", "representativ", etc.)  to search within the documents. Keep in mind that the sampling unit may depend on the module, thus register this information in the comments cell. 
Information for the </t>
    </r>
    <r>
      <rPr>
        <b/>
        <sz val="11"/>
        <color theme="1"/>
        <rFont val="Calibri"/>
        <family val="2"/>
        <scheme val="minor"/>
      </rPr>
      <t xml:space="preserve">Food </t>
    </r>
    <r>
      <rPr>
        <sz val="11"/>
        <color theme="1"/>
        <rFont val="Calibri"/>
        <family val="2"/>
        <scheme val="minor"/>
      </rPr>
      <t xml:space="preserve">section is usually found in the household expenditures module. The data-harmonizer will usually have one dedicated section of the module for food. Nevertheless, it is important that the data-harmonizer checks the manual thoroughly since there are cases where information is split across modules. This advice applies to both the </t>
    </r>
    <r>
      <rPr>
        <b/>
        <sz val="11"/>
        <color theme="1"/>
        <rFont val="Calibri"/>
        <family val="2"/>
        <scheme val="minor"/>
      </rPr>
      <t>Non-food</t>
    </r>
    <r>
      <rPr>
        <sz val="11"/>
        <color theme="1"/>
        <rFont val="Calibri"/>
        <family val="2"/>
        <scheme val="minor"/>
      </rPr>
      <t xml:space="preserve">, </t>
    </r>
    <r>
      <rPr>
        <b/>
        <sz val="11"/>
        <color theme="1"/>
        <rFont val="Calibri"/>
        <family val="2"/>
        <scheme val="minor"/>
      </rPr>
      <t>Housing</t>
    </r>
    <r>
      <rPr>
        <sz val="11"/>
        <color theme="1"/>
        <rFont val="Calibri"/>
        <family val="2"/>
        <scheme val="minor"/>
      </rPr>
      <t xml:space="preserve">, </t>
    </r>
    <r>
      <rPr>
        <b/>
        <sz val="11"/>
        <color theme="1"/>
        <rFont val="Calibri"/>
        <family val="2"/>
        <scheme val="minor"/>
      </rPr>
      <t>Durables</t>
    </r>
    <r>
      <rPr>
        <sz val="11"/>
        <color theme="1"/>
        <rFont val="Calibri"/>
        <family val="2"/>
        <scheme val="minor"/>
      </rPr>
      <t xml:space="preserve"> and </t>
    </r>
    <r>
      <rPr>
        <b/>
        <sz val="11"/>
        <color theme="1"/>
        <rFont val="Calibri"/>
        <family val="2"/>
        <scheme val="minor"/>
      </rPr>
      <t>COICOP</t>
    </r>
    <r>
      <rPr>
        <sz val="11"/>
        <color theme="1"/>
        <rFont val="Calibri"/>
        <family val="2"/>
        <scheme val="minor"/>
      </rPr>
      <t xml:space="preserve"> sections of this format.
To fill the section on </t>
    </r>
    <r>
      <rPr>
        <b/>
        <sz val="11"/>
        <color theme="1"/>
        <rFont val="Calibri"/>
        <family val="2"/>
        <scheme val="minor"/>
      </rPr>
      <t>Non-food</t>
    </r>
    <r>
      <rPr>
        <sz val="11"/>
        <color theme="1"/>
        <rFont val="Calibri"/>
        <family val="2"/>
        <scheme val="minor"/>
      </rPr>
      <t xml:space="preserve"> make use of the COICOP classification (see COICOP sheet availale at link). The good of that are found in the survey questionnaire must be mapped to the categories therein. Likewise, for the </t>
    </r>
    <r>
      <rPr>
        <b/>
        <sz val="11"/>
        <color theme="1"/>
        <rFont val="Calibri"/>
        <family val="2"/>
        <scheme val="minor"/>
      </rPr>
      <t>Durables</t>
    </r>
    <r>
      <rPr>
        <sz val="11"/>
        <color theme="1"/>
        <rFont val="Calibri"/>
        <family val="2"/>
        <scheme val="minor"/>
      </rPr>
      <t xml:space="preserve"> section make use of the COICOP. The COICOP classifies goods in durables (code D) and non-durables (codes SD, S, ND).  Durables are goods that have long useful lives. 
For the </t>
    </r>
    <r>
      <rPr>
        <b/>
        <sz val="11"/>
        <color theme="1"/>
        <rFont val="Calibri"/>
        <family val="2"/>
        <scheme val="minor"/>
      </rPr>
      <t>Housing</t>
    </r>
    <r>
      <rPr>
        <sz val="11"/>
        <color theme="1"/>
        <rFont val="Calibri"/>
        <family val="2"/>
        <scheme val="minor"/>
      </rPr>
      <t xml:space="preserve"> section you may have to withdraw information from the housing module. This information is not usually available in the expenditures module, but there could be instances where mortgage payments and similar expenditures are registered there.
For purposes of harmonization and evaluating the status of information availability at the regional level, this format also collects information about the possibility of clasifying items in the survey onto the COICOP at 2 digits. The </t>
    </r>
    <r>
      <rPr>
        <b/>
        <sz val="11"/>
        <color theme="1"/>
        <rFont val="Calibri"/>
        <family val="2"/>
        <scheme val="minor"/>
      </rPr>
      <t>COICOP</t>
    </r>
    <r>
      <rPr>
        <sz val="11"/>
        <color theme="1"/>
        <rFont val="Calibri"/>
        <family val="2"/>
        <scheme val="minor"/>
      </rPr>
      <t xml:space="preserve"> section of this format focuses on precisely that. Therefore the data-harmonizer shall use the COICOP classification to fill this section.
An example of how this form is filled can be found in the following link. Should there be any questions, please refere to the Stats Team TTLs.</t>
    </r>
  </si>
  <si>
    <t>Name of the Region</t>
  </si>
  <si>
    <t>Regions</t>
  </si>
  <si>
    <t>EAP</t>
  </si>
  <si>
    <t>ECA</t>
  </si>
  <si>
    <t>LAC</t>
  </si>
  <si>
    <t>SAR</t>
  </si>
  <si>
    <t>SSA</t>
  </si>
  <si>
    <t>MNA</t>
  </si>
  <si>
    <t>Cambodia</t>
  </si>
  <si>
    <t>Albania</t>
  </si>
  <si>
    <t>Bangladesh</t>
  </si>
  <si>
    <t>Angola</t>
  </si>
  <si>
    <t>Jordan</t>
  </si>
  <si>
    <t>Fiji</t>
  </si>
  <si>
    <t>Armenia</t>
  </si>
  <si>
    <t>Bhutan</t>
  </si>
  <si>
    <t>Benin</t>
  </si>
  <si>
    <t>Tunisia</t>
  </si>
  <si>
    <t>Indonesia</t>
  </si>
  <si>
    <t>Belarus</t>
  </si>
  <si>
    <t>India</t>
  </si>
  <si>
    <t>Botswana</t>
  </si>
  <si>
    <t>Iraq</t>
  </si>
  <si>
    <t>Lao PDR</t>
  </si>
  <si>
    <t>Bosnia and Herzegovina</t>
  </si>
  <si>
    <t>Nepal</t>
  </si>
  <si>
    <t>Burkina Faso</t>
  </si>
  <si>
    <t>Morocco</t>
  </si>
  <si>
    <t>Micronesia, Fed. Sts.</t>
  </si>
  <si>
    <t>Bulgaria</t>
  </si>
  <si>
    <t>Pakistan</t>
  </si>
  <si>
    <t>Burundi</t>
  </si>
  <si>
    <t>West Bank and Gaza</t>
  </si>
  <si>
    <t>Mongolia</t>
  </si>
  <si>
    <t>Croatia</t>
  </si>
  <si>
    <t>Sri Lanka</t>
  </si>
  <si>
    <t>Cabo Verde</t>
  </si>
  <si>
    <t>Djibouti</t>
  </si>
  <si>
    <t>Papua New Guinea</t>
  </si>
  <si>
    <t>Czech Republic</t>
  </si>
  <si>
    <t>Cameroon</t>
  </si>
  <si>
    <t>Iran, Islamic Rep.</t>
  </si>
  <si>
    <t>Philippines</t>
  </si>
  <si>
    <t>Estonia</t>
  </si>
  <si>
    <t>Central African Republic</t>
  </si>
  <si>
    <t>Samoa</t>
  </si>
  <si>
    <t>Georgia</t>
  </si>
  <si>
    <t>Chad</t>
  </si>
  <si>
    <t>Solomon Islands</t>
  </si>
  <si>
    <t>Greece</t>
  </si>
  <si>
    <t>Comoros</t>
  </si>
  <si>
    <t>Thailand</t>
  </si>
  <si>
    <t>Hungary</t>
  </si>
  <si>
    <t>Congo, Dem. Rep.</t>
  </si>
  <si>
    <t>Timor Leste</t>
  </si>
  <si>
    <t>Kazakhstan</t>
  </si>
  <si>
    <t>Congo, Rep.</t>
  </si>
  <si>
    <t>Tuvalu</t>
  </si>
  <si>
    <t>Kyrgyz Republic</t>
  </si>
  <si>
    <t>Côte d'Ivoire</t>
  </si>
  <si>
    <t>Vanuatu</t>
  </si>
  <si>
    <t>Latvia</t>
  </si>
  <si>
    <t>Ethiopia</t>
  </si>
  <si>
    <t>Vietnam</t>
  </si>
  <si>
    <t>Lithuania</t>
  </si>
  <si>
    <t>Gabon</t>
  </si>
  <si>
    <t>Macedonia, FYR</t>
  </si>
  <si>
    <t>Gambia, The</t>
  </si>
  <si>
    <t>Moldova</t>
  </si>
  <si>
    <t>Ghana</t>
  </si>
  <si>
    <t>Montenegro</t>
  </si>
  <si>
    <t>Guinea</t>
  </si>
  <si>
    <t>Poland</t>
  </si>
  <si>
    <t>Guinea-Bissau</t>
  </si>
  <si>
    <t>Romania</t>
  </si>
  <si>
    <t>Kenya</t>
  </si>
  <si>
    <t>Russian Federation</t>
  </si>
  <si>
    <t>Lesotho</t>
  </si>
  <si>
    <t>Serbia</t>
  </si>
  <si>
    <t>Liberia</t>
  </si>
  <si>
    <t>Slovak Republic</t>
  </si>
  <si>
    <t>Madagascar</t>
  </si>
  <si>
    <t>Slovenia</t>
  </si>
  <si>
    <t>Malawi</t>
  </si>
  <si>
    <t>Tajikistan</t>
  </si>
  <si>
    <t>Mali</t>
  </si>
  <si>
    <t>Turkey</t>
  </si>
  <si>
    <t>Mauritania</t>
  </si>
  <si>
    <t>Ukraine</t>
  </si>
  <si>
    <t>Mauritius</t>
  </si>
  <si>
    <t>Mozambique</t>
  </si>
  <si>
    <t>Namibia</t>
  </si>
  <si>
    <t>Niger</t>
  </si>
  <si>
    <t>Nigeria</t>
  </si>
  <si>
    <t>Rwanda</t>
  </si>
  <si>
    <t>Sao Tomend Principe</t>
  </si>
  <si>
    <t>Senegal</t>
  </si>
  <si>
    <t>Seychelles</t>
  </si>
  <si>
    <t>Sierra Leone</t>
  </si>
  <si>
    <t>South Africa</t>
  </si>
  <si>
    <t>South Sudan</t>
  </si>
  <si>
    <t>Sudan</t>
  </si>
  <si>
    <t>Swaziland</t>
  </si>
  <si>
    <t>Tanzania</t>
  </si>
  <si>
    <t>Togo</t>
  </si>
  <si>
    <t>Uganda</t>
  </si>
  <si>
    <t>Zambia</t>
  </si>
  <si>
    <t>Bahrain</t>
  </si>
  <si>
    <t>Algeria</t>
  </si>
  <si>
    <t>Egypt, Arab Rep.</t>
  </si>
  <si>
    <t>Israel</t>
  </si>
  <si>
    <t>Kuwait</t>
  </si>
  <si>
    <t>Lebanon</t>
  </si>
  <si>
    <t>Libya</t>
  </si>
  <si>
    <t>Malta</t>
  </si>
  <si>
    <t>Oman</t>
  </si>
  <si>
    <t>Qatar</t>
  </si>
  <si>
    <t>Saudi Arabia</t>
  </si>
  <si>
    <t>Syrian Arab Republic</t>
  </si>
  <si>
    <t>Yemen, Rep.</t>
  </si>
  <si>
    <t>don't know</t>
  </si>
  <si>
    <r>
      <t xml:space="preserve">Comments </t>
    </r>
    <r>
      <rPr>
        <b/>
        <sz val="12"/>
        <color theme="1"/>
        <rFont val="Calibri"/>
        <family val="2"/>
        <scheme val="minor"/>
      </rPr>
      <t xml:space="preserve">(should not be longer than </t>
    </r>
    <r>
      <rPr>
        <b/>
        <sz val="12"/>
        <color rgb="FFFF0000"/>
        <rFont val="Calibri"/>
        <family val="2"/>
        <scheme val="minor"/>
      </rPr>
      <t xml:space="preserve">170 </t>
    </r>
    <r>
      <rPr>
        <b/>
        <sz val="12"/>
        <color theme="1"/>
        <rFont val="Calibri"/>
        <family val="2"/>
        <scheme val="minor"/>
      </rPr>
      <t>characters)</t>
    </r>
  </si>
  <si>
    <t>Characters 
left</t>
  </si>
  <si>
    <r>
      <rPr>
        <b/>
        <sz val="24"/>
        <color theme="1"/>
        <rFont val="Calibri"/>
        <family val="2"/>
        <scheme val="minor"/>
      </rPr>
      <t xml:space="preserve">METADATA FORMULARY </t>
    </r>
    <r>
      <rPr>
        <b/>
        <sz val="20"/>
        <color theme="1"/>
        <rFont val="Calibri"/>
        <family val="2"/>
        <scheme val="minor"/>
      </rPr>
      <t xml:space="preserve">
Metadata collection for harmonization of consumption aggregates in the GMD database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</si>
</sst>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2"/>
      <color theme="1"/>
      <name val="Calibri"/>
      <family val="2"/>
      <scheme val="minor"/>
    </font>
    <font>
      <b/>
      <sz val="16"/>
      <color theme="1"/>
      <name val="Calibri"/>
      <family val="2"/>
      <scheme val="minor"/>
    </font>
    <font>
      <b/>
      <i/>
      <sz val="11"/>
      <color theme="1"/>
      <name val="Calibri"/>
      <family val="2"/>
      <scheme val="minor"/>
    </font>
    <font>
      <i/>
      <sz val="11"/>
      <color theme="1"/>
      <name val="Calibri"/>
      <family val="2"/>
      <scheme val="minor"/>
    </font>
    <font>
      <b/>
      <sz val="20"/>
      <color theme="1"/>
      <name val="Calibri"/>
      <family val="2"/>
      <scheme val="minor"/>
    </font>
    <font>
      <b/>
      <sz val="24"/>
      <color theme="1"/>
      <name val="Calibri"/>
      <family val="2"/>
      <scheme val="minor"/>
    </font>
    <font>
      <b/>
      <i/>
      <sz val="16"/>
      <color theme="1"/>
      <name val="Calibri"/>
      <family val="2"/>
      <scheme val="minor"/>
    </font>
    <font>
      <sz val="11"/>
      <color theme="1"/>
      <name val="Calibri"/>
      <family val="2"/>
      <scheme val="minor"/>
    </font>
    <font>
      <sz val="10"/>
      <color theme="1"/>
      <name val="Calibri"/>
      <family val="2"/>
      <scheme val="minor"/>
    </font>
    <font>
      <sz val="9"/>
      <color theme="1"/>
      <name val="Calibri"/>
      <family val="2"/>
      <scheme val="minor"/>
    </font>
    <font>
      <i/>
      <sz val="11"/>
      <color theme="9" tint="0.59999389629810485"/>
      <name val="Calibri"/>
      <family val="2"/>
      <scheme val="minor"/>
    </font>
    <font>
      <sz val="11"/>
      <color theme="9" tint="0.59999389629810485"/>
      <name val="Calibri"/>
      <family val="2"/>
      <scheme val="minor"/>
    </font>
    <font>
      <b/>
      <sz val="12"/>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59999389629810485"/>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s>
  <cellStyleXfs count="2">
    <xf numFmtId="0" fontId="0" fillId="0" borderId="0"/>
    <xf numFmtId="0" fontId="9" fillId="0" borderId="0"/>
  </cellStyleXfs>
  <cellXfs count="160">
    <xf numFmtId="0" fontId="0" fillId="0" borderId="0" xfId="0"/>
    <xf numFmtId="0" fontId="0" fillId="2" borderId="0" xfId="0" applyFill="1"/>
    <xf numFmtId="0" fontId="0" fillId="2" borderId="0" xfId="0" applyFill="1" applyAlignment="1">
      <alignment wrapText="1"/>
    </xf>
    <xf numFmtId="0" fontId="0" fillId="2" borderId="0" xfId="0" applyFill="1" applyAlignment="1">
      <alignment horizontal="center"/>
    </xf>
    <xf numFmtId="0" fontId="3" fillId="2" borderId="1" xfId="0" applyFont="1" applyFill="1" applyBorder="1" applyAlignment="1">
      <alignment horizontal="center"/>
    </xf>
    <xf numFmtId="0" fontId="3" fillId="2" borderId="1" xfId="0" applyFont="1" applyFill="1" applyBorder="1"/>
    <xf numFmtId="0" fontId="3" fillId="2" borderId="1" xfId="0" applyFont="1" applyFill="1" applyBorder="1" applyAlignment="1">
      <alignment horizontal="center" wrapText="1"/>
    </xf>
    <xf numFmtId="0" fontId="1" fillId="2" borderId="1" xfId="0" applyFont="1" applyFill="1" applyBorder="1"/>
    <xf numFmtId="0" fontId="0" fillId="2" borderId="1" xfId="0" applyFill="1" applyBorder="1" applyAlignment="1">
      <alignment wrapText="1"/>
    </xf>
    <xf numFmtId="0" fontId="0" fillId="2" borderId="1" xfId="0" applyFill="1" applyBorder="1" applyAlignment="1">
      <alignment horizontal="center" vertical="center"/>
    </xf>
    <xf numFmtId="0" fontId="0" fillId="2" borderId="1" xfId="0" applyFill="1" applyBorder="1"/>
    <xf numFmtId="0" fontId="1" fillId="2" borderId="1" xfId="0" applyFont="1" applyFill="1" applyBorder="1" applyAlignment="1">
      <alignment horizontal="center"/>
    </xf>
    <xf numFmtId="0" fontId="0" fillId="2" borderId="0" xfId="0" applyFill="1" applyAlignment="1">
      <alignment horizontal="right"/>
    </xf>
    <xf numFmtId="0" fontId="2" fillId="2" borderId="1" xfId="0" applyFont="1" applyFill="1" applyBorder="1" applyAlignment="1">
      <alignment horizontal="right"/>
    </xf>
    <xf numFmtId="0" fontId="2" fillId="2" borderId="1" xfId="0" applyFont="1" applyFill="1" applyBorder="1"/>
    <xf numFmtId="0" fontId="4" fillId="2" borderId="1" xfId="0" applyFont="1" applyFill="1" applyBorder="1" applyAlignment="1">
      <alignment horizontal="right"/>
    </xf>
    <xf numFmtId="0" fontId="4" fillId="2" borderId="1" xfId="0" applyFont="1" applyFill="1" applyBorder="1"/>
    <xf numFmtId="0" fontId="0" fillId="2" borderId="1" xfId="0" applyFill="1" applyBorder="1" applyAlignment="1">
      <alignment horizontal="right"/>
    </xf>
    <xf numFmtId="0" fontId="1" fillId="2" borderId="2" xfId="0" applyFont="1" applyFill="1" applyBorder="1" applyAlignment="1">
      <alignment vertical="top"/>
    </xf>
    <xf numFmtId="0" fontId="1" fillId="2" borderId="3" xfId="0" applyFont="1" applyFill="1" applyBorder="1" applyAlignment="1">
      <alignment vertical="top"/>
    </xf>
    <xf numFmtId="0" fontId="1" fillId="2" borderId="4" xfId="0" applyFont="1" applyFill="1" applyBorder="1" applyAlignment="1">
      <alignment vertical="top"/>
    </xf>
    <xf numFmtId="0" fontId="1" fillId="2" borderId="2" xfId="0" applyFont="1" applyFill="1" applyBorder="1" applyAlignment="1">
      <alignment vertical="top" wrapText="1"/>
    </xf>
    <xf numFmtId="0" fontId="1" fillId="2" borderId="3" xfId="0" applyFont="1" applyFill="1" applyBorder="1" applyAlignment="1">
      <alignment vertical="top" wrapText="1"/>
    </xf>
    <xf numFmtId="0" fontId="1" fillId="2" borderId="4" xfId="0" applyFont="1" applyFill="1" applyBorder="1" applyAlignment="1">
      <alignment vertical="top" wrapText="1"/>
    </xf>
    <xf numFmtId="0" fontId="1" fillId="2" borderId="1" xfId="0" applyFont="1" applyFill="1" applyBorder="1" applyAlignment="1">
      <alignment horizontal="left" vertical="top"/>
    </xf>
    <xf numFmtId="0" fontId="1" fillId="2" borderId="2" xfId="0" applyFont="1" applyFill="1" applyBorder="1" applyAlignment="1">
      <alignment horizontal="left" vertical="top"/>
    </xf>
    <xf numFmtId="0" fontId="1" fillId="2" borderId="3" xfId="0" applyFont="1" applyFill="1" applyBorder="1" applyAlignment="1">
      <alignment horizontal="left" vertical="top"/>
    </xf>
    <xf numFmtId="0" fontId="1" fillId="2" borderId="4" xfId="0" applyFont="1" applyFill="1" applyBorder="1" applyAlignment="1">
      <alignment horizontal="left" vertical="top"/>
    </xf>
    <xf numFmtId="0" fontId="1" fillId="2" borderId="1" xfId="0" applyFont="1" applyFill="1" applyBorder="1" applyAlignment="1">
      <alignment horizontal="left" vertical="top" wrapText="1"/>
    </xf>
    <xf numFmtId="0" fontId="1" fillId="2" borderId="5" xfId="0" applyFont="1" applyFill="1" applyBorder="1" applyAlignment="1">
      <alignment vertical="top" wrapText="1"/>
    </xf>
    <xf numFmtId="0" fontId="1" fillId="2" borderId="4" xfId="0" applyFont="1" applyFill="1" applyBorder="1" applyAlignment="1">
      <alignment horizontal="center" vertical="top" wrapText="1"/>
    </xf>
    <xf numFmtId="0" fontId="0" fillId="2" borderId="0" xfId="0" applyFill="1" applyBorder="1"/>
    <xf numFmtId="0" fontId="0" fillId="2" borderId="0" xfId="0" applyFill="1" applyBorder="1" applyAlignment="1">
      <alignment wrapText="1"/>
    </xf>
    <xf numFmtId="0" fontId="1" fillId="2" borderId="0" xfId="0" applyFont="1" applyFill="1" applyBorder="1"/>
    <xf numFmtId="0" fontId="5" fillId="2" borderId="3" xfId="0" applyFont="1" applyFill="1" applyBorder="1" applyAlignment="1">
      <alignment horizontal="left" vertical="top"/>
    </xf>
    <xf numFmtId="0" fontId="5" fillId="2" borderId="2" xfId="0" applyFont="1" applyFill="1" applyBorder="1" applyAlignment="1">
      <alignment horizontal="left" vertical="top"/>
    </xf>
    <xf numFmtId="0" fontId="5" fillId="2" borderId="4" xfId="0" applyFont="1" applyFill="1" applyBorder="1" applyAlignment="1">
      <alignment horizontal="left" vertical="top"/>
    </xf>
    <xf numFmtId="0" fontId="3" fillId="2" borderId="1" xfId="0" applyFont="1" applyFill="1" applyBorder="1" applyAlignment="1">
      <alignment horizontal="left" wrapText="1"/>
    </xf>
    <xf numFmtId="0" fontId="5" fillId="2" borderId="1" xfId="0" applyFont="1" applyFill="1" applyBorder="1" applyAlignment="1">
      <alignment horizontal="left"/>
    </xf>
    <xf numFmtId="0" fontId="5" fillId="2" borderId="2" xfId="0" applyFont="1" applyFill="1" applyBorder="1" applyAlignment="1">
      <alignment horizontal="left"/>
    </xf>
    <xf numFmtId="0" fontId="5" fillId="2" borderId="3" xfId="0" applyFont="1" applyFill="1" applyBorder="1" applyAlignment="1">
      <alignment horizontal="left" wrapText="1"/>
    </xf>
    <xf numFmtId="0" fontId="5" fillId="2" borderId="4" xfId="0" applyFont="1" applyFill="1" applyBorder="1" applyAlignment="1">
      <alignment horizontal="left" wrapText="1"/>
    </xf>
    <xf numFmtId="0" fontId="5" fillId="2" borderId="2" xfId="0" applyFont="1" applyFill="1" applyBorder="1" applyAlignment="1">
      <alignment horizontal="left" wrapText="1"/>
    </xf>
    <xf numFmtId="0" fontId="5" fillId="2" borderId="1" xfId="0" applyFont="1" applyFill="1" applyBorder="1" applyAlignment="1">
      <alignment horizontal="left" wrapText="1"/>
    </xf>
    <xf numFmtId="0" fontId="0" fillId="2" borderId="0" xfId="0" applyFill="1" applyAlignment="1">
      <alignment horizontal="left" wrapText="1"/>
    </xf>
    <xf numFmtId="0" fontId="0" fillId="2" borderId="0" xfId="0" applyFill="1" applyProtection="1">
      <protection locked="0"/>
    </xf>
    <xf numFmtId="0" fontId="5" fillId="2" borderId="1" xfId="0" applyFont="1" applyFill="1" applyBorder="1" applyAlignment="1" applyProtection="1">
      <alignment horizontal="left"/>
      <protection locked="0"/>
    </xf>
    <xf numFmtId="0" fontId="0" fillId="2" borderId="1" xfId="0" applyFill="1" applyBorder="1" applyProtection="1">
      <protection locked="0"/>
    </xf>
    <xf numFmtId="0" fontId="5" fillId="2" borderId="2" xfId="0" applyFont="1" applyFill="1" applyBorder="1" applyAlignment="1" applyProtection="1">
      <alignment horizontal="left"/>
      <protection locked="0"/>
    </xf>
    <xf numFmtId="0" fontId="5" fillId="2" borderId="3" xfId="0" applyFont="1" applyFill="1" applyBorder="1" applyAlignment="1" applyProtection="1">
      <alignment horizontal="left" wrapText="1"/>
      <protection locked="0"/>
    </xf>
    <xf numFmtId="0" fontId="5" fillId="2" borderId="2" xfId="0" applyFont="1" applyFill="1" applyBorder="1" applyAlignment="1" applyProtection="1">
      <alignment horizontal="left" vertical="top"/>
      <protection locked="0"/>
    </xf>
    <xf numFmtId="0" fontId="5" fillId="2" borderId="4" xfId="0" applyFont="1" applyFill="1" applyBorder="1" applyAlignment="1" applyProtection="1">
      <alignment horizontal="left" wrapText="1"/>
      <protection locked="0"/>
    </xf>
    <xf numFmtId="0" fontId="5" fillId="2" borderId="1" xfId="0" applyFont="1" applyFill="1" applyBorder="1" applyAlignment="1" applyProtection="1">
      <alignment horizontal="left" vertical="top"/>
      <protection locked="0"/>
    </xf>
    <xf numFmtId="0" fontId="5" fillId="2" borderId="2" xfId="0" applyFont="1" applyFill="1" applyBorder="1" applyAlignment="1" applyProtection="1">
      <alignment horizontal="left" wrapText="1"/>
      <protection locked="0"/>
    </xf>
    <xf numFmtId="0" fontId="0" fillId="2" borderId="9" xfId="0" applyFill="1" applyBorder="1" applyProtection="1">
      <protection locked="0"/>
    </xf>
    <xf numFmtId="0" fontId="5" fillId="2" borderId="3" xfId="0" applyFont="1" applyFill="1" applyBorder="1" applyAlignment="1" applyProtection="1">
      <alignment horizontal="left" vertical="top"/>
      <protection locked="0"/>
    </xf>
    <xf numFmtId="0" fontId="5" fillId="2" borderId="1" xfId="0" applyFont="1" applyFill="1" applyBorder="1" applyAlignment="1" applyProtection="1">
      <alignment horizontal="left" wrapText="1"/>
      <protection locked="0"/>
    </xf>
    <xf numFmtId="0" fontId="5" fillId="2" borderId="4" xfId="0" applyFont="1" applyFill="1" applyBorder="1" applyAlignment="1" applyProtection="1">
      <alignment horizontal="left" vertical="top"/>
      <protection locked="0"/>
    </xf>
    <xf numFmtId="0" fontId="0" fillId="2" borderId="1" xfId="0" applyFill="1" applyBorder="1" applyProtection="1"/>
    <xf numFmtId="0" fontId="10" fillId="0" borderId="12" xfId="1" applyFont="1" applyBorder="1" applyAlignment="1">
      <alignment horizontal="center" vertical="top"/>
    </xf>
    <xf numFmtId="0" fontId="10" fillId="0" borderId="0" xfId="1" applyFont="1" applyAlignment="1">
      <alignment horizontal="left" vertical="top"/>
    </xf>
    <xf numFmtId="0" fontId="10" fillId="0" borderId="13" xfId="1" applyFont="1" applyBorder="1" applyAlignment="1">
      <alignment horizontal="center" vertical="top"/>
    </xf>
    <xf numFmtId="0" fontId="10" fillId="0" borderId="14" xfId="1" applyFont="1" applyBorder="1" applyAlignment="1">
      <alignment horizontal="center" vertical="top"/>
    </xf>
    <xf numFmtId="0" fontId="11" fillId="0" borderId="15" xfId="1" applyFont="1" applyBorder="1" applyAlignment="1">
      <alignment horizontal="center" vertical="top"/>
    </xf>
    <xf numFmtId="0" fontId="11" fillId="0" borderId="0" xfId="1" applyFont="1" applyBorder="1" applyAlignment="1">
      <alignment horizontal="center" vertical="top"/>
    </xf>
    <xf numFmtId="0" fontId="10" fillId="0" borderId="12" xfId="1" applyFont="1" applyBorder="1" applyAlignment="1">
      <alignment horizontal="center"/>
    </xf>
    <xf numFmtId="0" fontId="10" fillId="0" borderId="0" xfId="1" applyFont="1"/>
    <xf numFmtId="0" fontId="0" fillId="0" borderId="0" xfId="0" applyAlignment="1">
      <alignment horizontal="left"/>
    </xf>
    <xf numFmtId="0" fontId="10" fillId="0" borderId="16" xfId="1" applyFont="1" applyBorder="1" applyAlignment="1">
      <alignment horizontal="center"/>
    </xf>
    <xf numFmtId="0" fontId="10" fillId="0" borderId="17" xfId="1" applyFont="1" applyBorder="1" applyAlignment="1">
      <alignment horizontal="center"/>
    </xf>
    <xf numFmtId="0" fontId="10" fillId="3" borderId="0" xfId="1" applyFont="1" applyFill="1" applyBorder="1" applyAlignment="1">
      <alignment horizontal="left"/>
    </xf>
    <xf numFmtId="0" fontId="10" fillId="0" borderId="0" xfId="1" applyFont="1" applyAlignment="1">
      <alignment horizontal="center"/>
    </xf>
    <xf numFmtId="0" fontId="10" fillId="0" borderId="0" xfId="1" applyFont="1" applyBorder="1" applyAlignment="1">
      <alignment horizontal="center"/>
    </xf>
    <xf numFmtId="0" fontId="0" fillId="0" borderId="0" xfId="0" applyAlignment="1">
      <alignment horizontal="center"/>
    </xf>
    <xf numFmtId="0" fontId="10" fillId="0" borderId="18" xfId="1" applyFont="1" applyBorder="1" applyAlignment="1">
      <alignment horizontal="center"/>
    </xf>
    <xf numFmtId="0" fontId="11" fillId="3" borderId="19" xfId="1" applyFont="1" applyFill="1" applyBorder="1" applyAlignment="1">
      <alignment horizontal="left"/>
    </xf>
    <xf numFmtId="0" fontId="11" fillId="3" borderId="0" xfId="1" applyFont="1" applyFill="1" applyBorder="1" applyAlignment="1">
      <alignment horizontal="left"/>
    </xf>
    <xf numFmtId="0" fontId="10" fillId="0" borderId="20" xfId="1" applyFont="1" applyBorder="1" applyAlignment="1">
      <alignment horizontal="center"/>
    </xf>
    <xf numFmtId="0" fontId="10" fillId="0" borderId="21" xfId="1" applyFont="1" applyBorder="1" applyAlignment="1">
      <alignment horizontal="center"/>
    </xf>
    <xf numFmtId="0" fontId="11" fillId="3" borderId="0" xfId="1" applyFont="1" applyFill="1" applyAlignment="1">
      <alignment horizontal="left"/>
    </xf>
    <xf numFmtId="0" fontId="1" fillId="2" borderId="2" xfId="0" applyFont="1" applyFill="1" applyBorder="1" applyAlignment="1">
      <alignment horizontal="left" vertical="top"/>
    </xf>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8" fillId="2" borderId="0" xfId="0" applyFont="1" applyFill="1" applyAlignment="1">
      <alignment horizontal="center" vertical="center"/>
    </xf>
    <xf numFmtId="0" fontId="0" fillId="2" borderId="0" xfId="0" applyFill="1" applyAlignment="1">
      <alignment horizontal="left" vertical="top" wrapText="1"/>
    </xf>
    <xf numFmtId="0" fontId="3" fillId="2" borderId="1" xfId="0" applyFont="1" applyFill="1" applyBorder="1" applyAlignment="1" applyProtection="1">
      <alignment horizontal="center"/>
    </xf>
    <xf numFmtId="0" fontId="3" fillId="2" borderId="1" xfId="0" applyFont="1" applyFill="1" applyBorder="1" applyAlignment="1" applyProtection="1"/>
    <xf numFmtId="0" fontId="3" fillId="2" borderId="1" xfId="0" applyFont="1" applyFill="1" applyBorder="1" applyProtection="1"/>
    <xf numFmtId="0" fontId="1" fillId="2" borderId="2" xfId="0" applyFont="1" applyFill="1" applyBorder="1" applyAlignment="1" applyProtection="1">
      <alignment vertical="top" wrapText="1"/>
    </xf>
    <xf numFmtId="0" fontId="1" fillId="2" borderId="1" xfId="0" applyFont="1" applyFill="1" applyBorder="1" applyProtection="1"/>
    <xf numFmtId="0" fontId="0" fillId="2" borderId="0" xfId="0" applyFill="1" applyProtection="1"/>
    <xf numFmtId="0" fontId="1" fillId="2" borderId="1" xfId="0" applyFont="1" applyFill="1" applyBorder="1" applyAlignment="1" applyProtection="1">
      <alignment horizontal="center"/>
    </xf>
    <xf numFmtId="0" fontId="1" fillId="2" borderId="1" xfId="0" applyFont="1" applyFill="1" applyBorder="1" applyAlignment="1" applyProtection="1"/>
    <xf numFmtId="0" fontId="1" fillId="2" borderId="3" xfId="0" applyFont="1" applyFill="1" applyBorder="1" applyAlignment="1" applyProtection="1">
      <alignment vertical="top" wrapText="1"/>
    </xf>
    <xf numFmtId="0" fontId="1" fillId="2" borderId="2" xfId="0" applyFont="1" applyFill="1" applyBorder="1" applyAlignment="1" applyProtection="1">
      <alignment horizontal="center"/>
    </xf>
    <xf numFmtId="0" fontId="1" fillId="2" borderId="2" xfId="0" applyFont="1" applyFill="1" applyBorder="1" applyAlignment="1" applyProtection="1"/>
    <xf numFmtId="0" fontId="1" fillId="2" borderId="2" xfId="0" applyFont="1" applyFill="1" applyBorder="1" applyProtection="1"/>
    <xf numFmtId="0" fontId="1" fillId="2" borderId="4" xfId="0" applyFont="1" applyFill="1" applyBorder="1" applyAlignment="1" applyProtection="1">
      <alignment vertical="top" wrapText="1"/>
    </xf>
    <xf numFmtId="0" fontId="1" fillId="2" borderId="2" xfId="0" applyFont="1" applyFill="1" applyBorder="1" applyAlignment="1" applyProtection="1">
      <alignment horizontal="center" vertical="top"/>
    </xf>
    <xf numFmtId="0" fontId="1" fillId="2" borderId="2" xfId="0" applyFont="1" applyFill="1" applyBorder="1" applyAlignment="1" applyProtection="1">
      <alignment vertical="top"/>
    </xf>
    <xf numFmtId="0" fontId="0" fillId="2" borderId="3" xfId="0" applyFill="1" applyBorder="1" applyAlignment="1" applyProtection="1">
      <alignment horizontal="center" wrapText="1"/>
    </xf>
    <xf numFmtId="0" fontId="0" fillId="2" borderId="3" xfId="0" applyFill="1" applyBorder="1" applyAlignment="1" applyProtection="1">
      <alignment wrapText="1"/>
    </xf>
    <xf numFmtId="0" fontId="0" fillId="2" borderId="4" xfId="0" applyFill="1" applyBorder="1" applyAlignment="1" applyProtection="1">
      <alignment horizontal="center" wrapText="1"/>
    </xf>
    <xf numFmtId="0" fontId="0" fillId="2" borderId="4" xfId="0" applyFill="1" applyBorder="1" applyAlignment="1" applyProtection="1">
      <alignment wrapText="1"/>
    </xf>
    <xf numFmtId="0" fontId="1" fillId="2" borderId="3" xfId="0" applyFont="1" applyFill="1" applyBorder="1" applyAlignment="1" applyProtection="1">
      <alignment horizontal="center" vertical="top"/>
    </xf>
    <xf numFmtId="0" fontId="1" fillId="2" borderId="3" xfId="0" applyFont="1" applyFill="1" applyBorder="1" applyAlignment="1" applyProtection="1">
      <alignment vertical="top"/>
    </xf>
    <xf numFmtId="0" fontId="1" fillId="2" borderId="1" xfId="0" applyFont="1" applyFill="1" applyBorder="1" applyAlignment="1" applyProtection="1">
      <alignment vertical="top"/>
    </xf>
    <xf numFmtId="0" fontId="1" fillId="2" borderId="10" xfId="0" applyFont="1" applyFill="1" applyBorder="1" applyAlignment="1" applyProtection="1">
      <alignment horizontal="center" wrapText="1"/>
    </xf>
    <xf numFmtId="0" fontId="1" fillId="2" borderId="10" xfId="0" applyFont="1" applyFill="1" applyBorder="1" applyAlignment="1" applyProtection="1">
      <alignment wrapText="1"/>
    </xf>
    <xf numFmtId="0" fontId="0" fillId="2" borderId="8" xfId="0" applyFont="1" applyFill="1" applyBorder="1" applyAlignment="1" applyProtection="1">
      <alignment horizontal="center" vertical="top"/>
    </xf>
    <xf numFmtId="0" fontId="0" fillId="2" borderId="8" xfId="0" applyFont="1" applyFill="1" applyBorder="1" applyAlignment="1" applyProtection="1">
      <alignment vertical="top"/>
    </xf>
    <xf numFmtId="0" fontId="0" fillId="2" borderId="8" xfId="0" applyFont="1" applyFill="1" applyBorder="1" applyAlignment="1" applyProtection="1">
      <alignment horizontal="left" vertical="top" indent="2"/>
    </xf>
    <xf numFmtId="0" fontId="0" fillId="2" borderId="11" xfId="0" applyFont="1" applyFill="1" applyBorder="1" applyAlignment="1" applyProtection="1">
      <alignment horizontal="center" vertical="top"/>
    </xf>
    <xf numFmtId="0" fontId="0" fillId="2" borderId="11" xfId="0" applyFont="1" applyFill="1" applyBorder="1" applyAlignment="1" applyProtection="1">
      <alignment vertical="top"/>
    </xf>
    <xf numFmtId="0" fontId="0" fillId="2" borderId="11" xfId="0" applyFont="1" applyFill="1" applyBorder="1" applyAlignment="1" applyProtection="1">
      <alignment horizontal="left" vertical="top" indent="2"/>
    </xf>
    <xf numFmtId="0" fontId="1" fillId="2" borderId="3" xfId="0" applyFont="1" applyFill="1" applyBorder="1" applyAlignment="1" applyProtection="1">
      <alignment horizontal="center" wrapText="1"/>
    </xf>
    <xf numFmtId="0" fontId="1" fillId="2" borderId="3" xfId="0" applyFont="1" applyFill="1" applyBorder="1" applyAlignment="1" applyProtection="1">
      <alignment wrapText="1"/>
    </xf>
    <xf numFmtId="0" fontId="0" fillId="2" borderId="3" xfId="0" applyFont="1" applyFill="1" applyBorder="1" applyAlignment="1" applyProtection="1">
      <alignment horizontal="center" vertical="top"/>
    </xf>
    <xf numFmtId="0" fontId="0" fillId="2" borderId="3" xfId="0" applyFont="1" applyFill="1" applyBorder="1" applyAlignment="1" applyProtection="1">
      <alignment vertical="top"/>
    </xf>
    <xf numFmtId="0" fontId="0" fillId="2" borderId="3" xfId="0" applyFont="1" applyFill="1" applyBorder="1" applyAlignment="1" applyProtection="1">
      <alignment horizontal="left" vertical="top" indent="2"/>
    </xf>
    <xf numFmtId="0" fontId="0" fillId="2" borderId="4" xfId="0" applyFont="1" applyFill="1" applyBorder="1" applyAlignment="1" applyProtection="1">
      <alignment horizontal="center" vertical="top"/>
    </xf>
    <xf numFmtId="0" fontId="0" fillId="2" borderId="4" xfId="0" applyFont="1" applyFill="1" applyBorder="1" applyAlignment="1" applyProtection="1">
      <alignment vertical="top"/>
    </xf>
    <xf numFmtId="0" fontId="0" fillId="2" borderId="4" xfId="0" applyFont="1" applyFill="1" applyBorder="1" applyAlignment="1" applyProtection="1">
      <alignment horizontal="left" vertical="top" indent="2"/>
    </xf>
    <xf numFmtId="0" fontId="4" fillId="2" borderId="3" xfId="0" applyFont="1" applyFill="1" applyBorder="1" applyAlignment="1" applyProtection="1">
      <alignment horizontal="center" vertical="top"/>
    </xf>
    <xf numFmtId="0" fontId="4" fillId="2" borderId="3" xfId="0" applyFont="1" applyFill="1" applyBorder="1" applyAlignment="1" applyProtection="1">
      <alignment vertical="top"/>
    </xf>
    <xf numFmtId="0" fontId="4" fillId="2" borderId="2" xfId="0" applyFont="1" applyFill="1" applyBorder="1" applyAlignment="1" applyProtection="1">
      <alignment horizontal="center" vertical="top"/>
    </xf>
    <xf numFmtId="0" fontId="4" fillId="2" borderId="2" xfId="0" applyFont="1" applyFill="1" applyBorder="1" applyAlignment="1" applyProtection="1">
      <alignment vertical="top"/>
    </xf>
    <xf numFmtId="0" fontId="1" fillId="2" borderId="1" xfId="0" applyFont="1" applyFill="1" applyBorder="1" applyAlignment="1" applyProtection="1">
      <alignment horizontal="center" vertical="top"/>
    </xf>
    <xf numFmtId="0" fontId="1" fillId="2" borderId="1" xfId="0" applyFont="1" applyFill="1" applyBorder="1" applyAlignment="1" applyProtection="1">
      <alignment horizontal="left" vertical="top"/>
    </xf>
    <xf numFmtId="0" fontId="1" fillId="2" borderId="2" xfId="0" applyFont="1" applyFill="1" applyBorder="1" applyAlignment="1" applyProtection="1">
      <alignment horizontal="left" vertical="top"/>
    </xf>
    <xf numFmtId="0" fontId="1" fillId="2" borderId="10" xfId="0" applyFont="1" applyFill="1" applyBorder="1" applyAlignment="1" applyProtection="1">
      <alignment horizontal="center" vertical="top"/>
    </xf>
    <xf numFmtId="0" fontId="1" fillId="2" borderId="10" xfId="0" applyFont="1" applyFill="1" applyBorder="1" applyAlignment="1" applyProtection="1">
      <alignment vertical="top"/>
    </xf>
    <xf numFmtId="0" fontId="1" fillId="2" borderId="10" xfId="0" applyFont="1" applyFill="1" applyBorder="1" applyAlignment="1" applyProtection="1">
      <alignment horizontal="left" vertical="top"/>
    </xf>
    <xf numFmtId="0" fontId="1" fillId="2" borderId="11" xfId="0" applyFont="1" applyFill="1" applyBorder="1" applyAlignment="1" applyProtection="1">
      <alignment horizontal="center" vertical="top"/>
    </xf>
    <xf numFmtId="0" fontId="1" fillId="2" borderId="11" xfId="0" applyFont="1" applyFill="1" applyBorder="1" applyAlignment="1" applyProtection="1">
      <alignment vertical="top"/>
    </xf>
    <xf numFmtId="0" fontId="1" fillId="2" borderId="11" xfId="0" applyFont="1" applyFill="1" applyBorder="1" applyAlignment="1" applyProtection="1">
      <alignment horizontal="left" vertical="top"/>
    </xf>
    <xf numFmtId="0" fontId="1" fillId="2" borderId="5" xfId="0" applyFont="1" applyFill="1" applyBorder="1" applyAlignment="1" applyProtection="1">
      <alignment vertical="top"/>
    </xf>
    <xf numFmtId="0" fontId="1" fillId="2" borderId="6" xfId="0" applyFont="1" applyFill="1" applyBorder="1" applyAlignment="1" applyProtection="1">
      <alignment vertical="top"/>
    </xf>
    <xf numFmtId="0" fontId="0" fillId="2" borderId="3" xfId="0" applyFont="1" applyFill="1" applyBorder="1" applyAlignment="1" applyProtection="1">
      <alignment horizontal="center"/>
    </xf>
    <xf numFmtId="0" fontId="0" fillId="2" borderId="3" xfId="0" applyFont="1" applyFill="1" applyBorder="1" applyAlignment="1" applyProtection="1"/>
    <xf numFmtId="0" fontId="0" fillId="2" borderId="3" xfId="0" applyFont="1" applyFill="1" applyBorder="1" applyProtection="1"/>
    <xf numFmtId="0" fontId="1" fillId="2" borderId="7" xfId="0" applyFont="1" applyFill="1" applyBorder="1" applyAlignment="1" applyProtection="1">
      <alignment vertical="top"/>
    </xf>
    <xf numFmtId="0" fontId="0" fillId="2" borderId="4" xfId="0" applyFont="1" applyFill="1" applyBorder="1" applyAlignment="1" applyProtection="1">
      <alignment horizontal="center"/>
    </xf>
    <xf numFmtId="0" fontId="0" fillId="2" borderId="4" xfId="0" applyFont="1" applyFill="1" applyBorder="1" applyAlignment="1" applyProtection="1"/>
    <xf numFmtId="0" fontId="0" fillId="2" borderId="4" xfId="0" applyFont="1" applyFill="1" applyBorder="1" applyProtection="1"/>
    <xf numFmtId="0" fontId="0" fillId="2" borderId="0" xfId="0" applyFill="1" applyAlignment="1" applyProtection="1">
      <alignment horizontal="center"/>
    </xf>
    <xf numFmtId="0" fontId="0" fillId="2" borderId="0" xfId="0" applyFill="1" applyAlignment="1" applyProtection="1"/>
    <xf numFmtId="0" fontId="5" fillId="2" borderId="2" xfId="0" applyFont="1" applyFill="1" applyBorder="1" applyAlignment="1" applyProtection="1">
      <alignment horizontal="left" vertical="top"/>
    </xf>
    <xf numFmtId="0" fontId="5" fillId="2" borderId="2" xfId="0" applyFont="1" applyFill="1" applyBorder="1" applyAlignment="1" applyProtection="1">
      <alignment horizontal="left" wrapText="1"/>
    </xf>
    <xf numFmtId="0" fontId="5" fillId="2" borderId="3" xfId="0" applyFont="1" applyFill="1" applyBorder="1" applyAlignment="1" applyProtection="1">
      <alignment horizontal="left" vertical="top"/>
    </xf>
    <xf numFmtId="0" fontId="12" fillId="4" borderId="1" xfId="0" applyFont="1" applyFill="1" applyBorder="1" applyAlignment="1" applyProtection="1">
      <alignment horizontal="left"/>
    </xf>
    <xf numFmtId="0" fontId="13" fillId="4" borderId="1" xfId="0" applyFont="1" applyFill="1" applyBorder="1" applyProtection="1"/>
    <xf numFmtId="0" fontId="3" fillId="2" borderId="1" xfId="0" applyFont="1" applyFill="1" applyBorder="1" applyAlignment="1" applyProtection="1">
      <alignment horizontal="left" wrapText="1"/>
    </xf>
    <xf numFmtId="0" fontId="0" fillId="2" borderId="9" xfId="0" applyFill="1" applyBorder="1" applyProtection="1"/>
    <xf numFmtId="0" fontId="0" fillId="2" borderId="0" xfId="0" applyFill="1" applyAlignment="1" applyProtection="1">
      <alignment horizontal="left" wrapText="1"/>
    </xf>
    <xf numFmtId="0" fontId="3" fillId="2" borderId="1" xfId="0" applyFont="1" applyFill="1" applyBorder="1" applyAlignment="1" applyProtection="1">
      <alignment horizontal="center" wrapText="1"/>
    </xf>
  </cellXfs>
  <cellStyles count="2">
    <cellStyle name="Normal" xfId="0" builtinId="0"/>
    <cellStyle name="Normal 2" xfId="1"/>
  </cellStyles>
  <dxfs count="2">
    <dxf>
      <font>
        <color rgb="FFFF0000"/>
      </font>
      <fill>
        <patternFill>
          <bgColor rgb="FFFFA3A3"/>
        </patternFill>
      </fill>
    </dxf>
    <dxf>
      <font>
        <color rgb="FFFF0000"/>
      </font>
      <fill>
        <patternFill>
          <bgColor rgb="FFFFA3A3"/>
        </patternFill>
      </fill>
    </dxf>
  </dxfs>
  <tableStyles count="0" defaultTableStyle="TableStyleMedium2" defaultPivotStyle="PivotStyleLight16"/>
  <colors>
    <mruColors>
      <color rgb="FFFFA3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H281"/>
  <sheetViews>
    <sheetView topLeftCell="A183" workbookViewId="0">
      <selection activeCell="A197" sqref="A197:XFD227"/>
    </sheetView>
  </sheetViews>
  <sheetFormatPr defaultColWidth="9.140625" defaultRowHeight="15" x14ac:dyDescent="0.25"/>
  <cols>
    <col min="1" max="1" width="17.7109375" style="1" bestFit="1" customWidth="1"/>
    <col min="2" max="3" width="17.7109375" style="1" hidden="1" customWidth="1"/>
    <col min="4" max="4" width="60.28515625" style="1" customWidth="1"/>
    <col min="5" max="5" width="76.140625" style="2" bestFit="1" customWidth="1"/>
    <col min="6" max="6" width="13.85546875" style="1" customWidth="1"/>
    <col min="7" max="7" width="18.28515625" style="1" customWidth="1"/>
    <col min="8" max="8" width="87.5703125" style="1" customWidth="1"/>
    <col min="9" max="16384" width="9.140625" style="1"/>
  </cols>
  <sheetData>
    <row r="2" spans="1:8" ht="105" x14ac:dyDescent="0.35">
      <c r="A2" s="4" t="s">
        <v>58</v>
      </c>
      <c r="B2" s="6" t="s">
        <v>649</v>
      </c>
      <c r="C2" s="6" t="s">
        <v>653</v>
      </c>
      <c r="D2" s="5" t="s">
        <v>59</v>
      </c>
      <c r="E2" s="6" t="s">
        <v>60</v>
      </c>
      <c r="F2" s="6" t="s">
        <v>61</v>
      </c>
      <c r="G2" s="6" t="s">
        <v>57</v>
      </c>
      <c r="H2" s="4" t="s">
        <v>6</v>
      </c>
    </row>
    <row r="3" spans="1:8" x14ac:dyDescent="0.25">
      <c r="A3" s="84" t="s">
        <v>30</v>
      </c>
      <c r="B3" s="28" t="s">
        <v>650</v>
      </c>
      <c r="C3" s="28"/>
      <c r="D3" s="7" t="s">
        <v>31</v>
      </c>
      <c r="E3" s="8" t="s">
        <v>13</v>
      </c>
      <c r="F3" s="9">
        <f t="shared" ref="F3:F60" si="0">IF(E3="(Fill)",1,0)</f>
        <v>1</v>
      </c>
      <c r="G3" s="9" t="s">
        <v>62</v>
      </c>
      <c r="H3" s="10"/>
    </row>
    <row r="4" spans="1:8" x14ac:dyDescent="0.25">
      <c r="A4" s="84"/>
      <c r="B4" s="28" t="s">
        <v>651</v>
      </c>
      <c r="C4" s="28"/>
      <c r="D4" s="7" t="s">
        <v>32</v>
      </c>
      <c r="E4" s="8" t="s">
        <v>13</v>
      </c>
      <c r="F4" s="9">
        <f t="shared" si="0"/>
        <v>1</v>
      </c>
      <c r="G4" s="9" t="s">
        <v>62</v>
      </c>
      <c r="H4" s="10"/>
    </row>
    <row r="5" spans="1:8" x14ac:dyDescent="0.25">
      <c r="A5" s="84"/>
      <c r="B5" s="28" t="s">
        <v>652</v>
      </c>
      <c r="C5" s="28"/>
      <c r="D5" s="7" t="s">
        <v>33</v>
      </c>
      <c r="E5" s="8" t="s">
        <v>13</v>
      </c>
      <c r="F5" s="9">
        <f t="shared" si="0"/>
        <v>1</v>
      </c>
      <c r="G5" s="9" t="s">
        <v>62</v>
      </c>
      <c r="H5" s="10"/>
    </row>
    <row r="6" spans="1:8" x14ac:dyDescent="0.25">
      <c r="A6" s="21" t="s">
        <v>4</v>
      </c>
      <c r="B6" s="21">
        <v>1</v>
      </c>
      <c r="C6" s="21" t="s">
        <v>416</v>
      </c>
      <c r="D6" s="18" t="s">
        <v>1</v>
      </c>
      <c r="E6" s="8" t="s">
        <v>8</v>
      </c>
      <c r="F6" s="9">
        <f t="shared" si="0"/>
        <v>0</v>
      </c>
      <c r="G6" s="9" t="s">
        <v>62</v>
      </c>
      <c r="H6" s="10"/>
    </row>
    <row r="7" spans="1:8" x14ac:dyDescent="0.25">
      <c r="A7" s="22"/>
      <c r="B7" s="21">
        <v>1</v>
      </c>
      <c r="C7" s="22" t="s">
        <v>654</v>
      </c>
      <c r="D7" s="19"/>
      <c r="E7" s="8" t="s">
        <v>7</v>
      </c>
      <c r="F7" s="9">
        <f t="shared" si="0"/>
        <v>0</v>
      </c>
      <c r="G7" s="9" t="s">
        <v>62</v>
      </c>
      <c r="H7" s="10"/>
    </row>
    <row r="8" spans="1:8" x14ac:dyDescent="0.25">
      <c r="A8" s="22"/>
      <c r="B8" s="21">
        <v>1</v>
      </c>
      <c r="C8" s="22" t="s">
        <v>657</v>
      </c>
      <c r="D8" s="19"/>
      <c r="E8" s="8" t="s">
        <v>9</v>
      </c>
      <c r="F8" s="9">
        <f t="shared" si="0"/>
        <v>0</v>
      </c>
      <c r="G8" s="9" t="s">
        <v>62</v>
      </c>
      <c r="H8" s="10"/>
    </row>
    <row r="9" spans="1:8" x14ac:dyDescent="0.25">
      <c r="A9" s="22"/>
      <c r="B9" s="21">
        <v>1</v>
      </c>
      <c r="C9" s="22" t="s">
        <v>658</v>
      </c>
      <c r="D9" s="19"/>
      <c r="E9" s="8" t="s">
        <v>10</v>
      </c>
      <c r="F9" s="9">
        <f t="shared" si="0"/>
        <v>0</v>
      </c>
      <c r="G9" s="9" t="s">
        <v>62</v>
      </c>
      <c r="H9" s="10"/>
    </row>
    <row r="10" spans="1:8" x14ac:dyDescent="0.25">
      <c r="A10" s="22"/>
      <c r="B10" s="21">
        <v>1</v>
      </c>
      <c r="C10" s="22" t="s">
        <v>659</v>
      </c>
      <c r="D10" s="20"/>
      <c r="E10" s="8" t="s">
        <v>665</v>
      </c>
      <c r="F10" s="9">
        <f t="shared" si="0"/>
        <v>0</v>
      </c>
      <c r="G10" s="9" t="s">
        <v>62</v>
      </c>
      <c r="H10" s="10"/>
    </row>
    <row r="11" spans="1:8" x14ac:dyDescent="0.25">
      <c r="A11" s="22"/>
      <c r="B11" s="22">
        <v>2</v>
      </c>
      <c r="C11" s="22" t="s">
        <v>416</v>
      </c>
      <c r="D11" s="18" t="s">
        <v>2</v>
      </c>
      <c r="E11" s="8" t="s">
        <v>11</v>
      </c>
      <c r="F11" s="9">
        <f t="shared" si="0"/>
        <v>0</v>
      </c>
      <c r="G11" s="9" t="s">
        <v>62</v>
      </c>
      <c r="H11" s="10"/>
    </row>
    <row r="12" spans="1:8" x14ac:dyDescent="0.25">
      <c r="A12" s="22"/>
      <c r="B12" s="22">
        <v>2</v>
      </c>
      <c r="C12" s="22" t="s">
        <v>654</v>
      </c>
      <c r="D12" s="19"/>
      <c r="E12" s="8" t="s">
        <v>12</v>
      </c>
      <c r="F12" s="9">
        <f t="shared" si="0"/>
        <v>0</v>
      </c>
      <c r="G12" s="9" t="s">
        <v>62</v>
      </c>
      <c r="H12" s="10"/>
    </row>
    <row r="13" spans="1:8" x14ac:dyDescent="0.25">
      <c r="A13" s="22"/>
      <c r="B13" s="22">
        <v>2</v>
      </c>
      <c r="C13" s="22" t="s">
        <v>657</v>
      </c>
      <c r="D13" s="20"/>
      <c r="E13" s="8" t="s">
        <v>665</v>
      </c>
      <c r="F13" s="9">
        <f t="shared" si="0"/>
        <v>0</v>
      </c>
      <c r="G13" s="9" t="s">
        <v>62</v>
      </c>
      <c r="H13" s="10"/>
    </row>
    <row r="14" spans="1:8" x14ac:dyDescent="0.25">
      <c r="A14" s="22"/>
      <c r="B14" s="22">
        <v>3</v>
      </c>
      <c r="C14" s="22"/>
      <c r="D14" s="7" t="s">
        <v>0</v>
      </c>
      <c r="E14" s="8" t="s">
        <v>13</v>
      </c>
      <c r="F14" s="9">
        <f t="shared" si="0"/>
        <v>1</v>
      </c>
      <c r="G14" s="9" t="s">
        <v>62</v>
      </c>
      <c r="H14" s="10"/>
    </row>
    <row r="15" spans="1:8" x14ac:dyDescent="0.25">
      <c r="A15" s="22"/>
      <c r="B15" s="22">
        <v>4</v>
      </c>
      <c r="C15" s="22"/>
      <c r="D15" s="7" t="s">
        <v>3</v>
      </c>
      <c r="E15" s="8" t="s">
        <v>13</v>
      </c>
      <c r="F15" s="9">
        <f t="shared" si="0"/>
        <v>1</v>
      </c>
      <c r="G15" s="9" t="s">
        <v>62</v>
      </c>
      <c r="H15" s="10"/>
    </row>
    <row r="16" spans="1:8" x14ac:dyDescent="0.25">
      <c r="A16" s="22"/>
      <c r="B16" s="22">
        <v>5</v>
      </c>
      <c r="C16" s="22" t="s">
        <v>416</v>
      </c>
      <c r="D16" s="18" t="s">
        <v>16</v>
      </c>
      <c r="E16" s="8" t="s">
        <v>14</v>
      </c>
      <c r="F16" s="9">
        <f t="shared" si="0"/>
        <v>0</v>
      </c>
      <c r="G16" s="9" t="s">
        <v>62</v>
      </c>
      <c r="H16" s="10"/>
    </row>
    <row r="17" spans="1:8" x14ac:dyDescent="0.25">
      <c r="A17" s="22"/>
      <c r="B17" s="22">
        <v>5</v>
      </c>
      <c r="C17" s="22" t="s">
        <v>654</v>
      </c>
      <c r="D17" s="19"/>
      <c r="E17" s="8" t="s">
        <v>15</v>
      </c>
      <c r="F17" s="9">
        <f t="shared" si="0"/>
        <v>0</v>
      </c>
      <c r="G17" s="9" t="s">
        <v>62</v>
      </c>
      <c r="H17" s="10"/>
    </row>
    <row r="18" spans="1:8" x14ac:dyDescent="0.25">
      <c r="A18" s="23"/>
      <c r="B18" s="23">
        <v>5</v>
      </c>
      <c r="C18" s="23" t="s">
        <v>657</v>
      </c>
      <c r="D18" s="20"/>
      <c r="E18" s="8" t="s">
        <v>665</v>
      </c>
      <c r="F18" s="9">
        <f t="shared" si="0"/>
        <v>0</v>
      </c>
      <c r="G18" s="9" t="s">
        <v>62</v>
      </c>
      <c r="H18" s="10"/>
    </row>
    <row r="19" spans="1:8" x14ac:dyDescent="0.25">
      <c r="A19" s="21" t="s">
        <v>5</v>
      </c>
      <c r="B19" s="21">
        <v>6</v>
      </c>
      <c r="C19" s="21" t="s">
        <v>416</v>
      </c>
      <c r="D19" s="18" t="s">
        <v>17</v>
      </c>
      <c r="E19" s="8" t="s">
        <v>18</v>
      </c>
      <c r="F19" s="9">
        <f t="shared" si="0"/>
        <v>0</v>
      </c>
      <c r="G19" s="9"/>
      <c r="H19" s="10"/>
    </row>
    <row r="20" spans="1:8" x14ac:dyDescent="0.25">
      <c r="A20" s="22"/>
      <c r="B20" s="22">
        <v>6</v>
      </c>
      <c r="C20" s="22" t="s">
        <v>654</v>
      </c>
      <c r="D20" s="19"/>
      <c r="E20" s="8" t="s">
        <v>19</v>
      </c>
      <c r="F20" s="9">
        <f t="shared" si="0"/>
        <v>0</v>
      </c>
      <c r="G20" s="9"/>
      <c r="H20" s="10"/>
    </row>
    <row r="21" spans="1:8" x14ac:dyDescent="0.25">
      <c r="A21" s="22"/>
      <c r="B21" s="22"/>
      <c r="C21" s="22"/>
      <c r="D21" s="19"/>
      <c r="E21" s="8" t="s">
        <v>666</v>
      </c>
      <c r="F21" s="9">
        <f t="shared" si="0"/>
        <v>0</v>
      </c>
      <c r="G21" s="9"/>
      <c r="H21" s="10"/>
    </row>
    <row r="22" spans="1:8" x14ac:dyDescent="0.25">
      <c r="A22" s="22"/>
      <c r="B22" s="22">
        <v>6</v>
      </c>
      <c r="C22" s="22" t="s">
        <v>657</v>
      </c>
      <c r="D22" s="19"/>
      <c r="E22" s="8" t="s">
        <v>20</v>
      </c>
      <c r="F22" s="9">
        <f t="shared" si="0"/>
        <v>0</v>
      </c>
      <c r="G22" s="9"/>
      <c r="H22" s="10"/>
    </row>
    <row r="23" spans="1:8" x14ac:dyDescent="0.25">
      <c r="A23" s="22"/>
      <c r="B23" s="22">
        <v>6</v>
      </c>
      <c r="C23" s="22" t="s">
        <v>658</v>
      </c>
      <c r="D23" s="20"/>
      <c r="E23" s="8" t="s">
        <v>21</v>
      </c>
      <c r="F23" s="9">
        <f t="shared" si="0"/>
        <v>0</v>
      </c>
      <c r="G23" s="9"/>
      <c r="H23" s="10"/>
    </row>
    <row r="24" spans="1:8" x14ac:dyDescent="0.25">
      <c r="A24" s="22"/>
      <c r="B24" s="22">
        <v>7</v>
      </c>
      <c r="C24" s="22" t="s">
        <v>416</v>
      </c>
      <c r="D24" s="18" t="s">
        <v>22</v>
      </c>
      <c r="E24" s="8" t="s">
        <v>25</v>
      </c>
      <c r="F24" s="9">
        <f t="shared" si="0"/>
        <v>0</v>
      </c>
      <c r="G24" s="9"/>
      <c r="H24" s="10"/>
    </row>
    <row r="25" spans="1:8" x14ac:dyDescent="0.25">
      <c r="A25" s="22"/>
      <c r="B25" s="22">
        <v>7</v>
      </c>
      <c r="C25" s="22" t="s">
        <v>654</v>
      </c>
      <c r="D25" s="20"/>
      <c r="E25" s="8" t="s">
        <v>26</v>
      </c>
      <c r="F25" s="9">
        <f t="shared" si="0"/>
        <v>0</v>
      </c>
      <c r="G25" s="9"/>
      <c r="H25" s="10"/>
    </row>
    <row r="26" spans="1:8" x14ac:dyDescent="0.25">
      <c r="A26" s="22"/>
      <c r="B26" s="22">
        <v>8</v>
      </c>
      <c r="C26" s="22" t="s">
        <v>416</v>
      </c>
      <c r="D26" s="18" t="s">
        <v>23</v>
      </c>
      <c r="E26" s="8" t="s">
        <v>25</v>
      </c>
      <c r="F26" s="9">
        <f t="shared" si="0"/>
        <v>0</v>
      </c>
      <c r="G26" s="9"/>
      <c r="H26" s="10"/>
    </row>
    <row r="27" spans="1:8" x14ac:dyDescent="0.25">
      <c r="A27" s="22"/>
      <c r="B27" s="22">
        <v>8</v>
      </c>
      <c r="C27" s="22" t="s">
        <v>654</v>
      </c>
      <c r="D27" s="20"/>
      <c r="E27" s="8" t="s">
        <v>26</v>
      </c>
      <c r="F27" s="9">
        <f t="shared" si="0"/>
        <v>0</v>
      </c>
      <c r="G27" s="9"/>
      <c r="H27" s="10"/>
    </row>
    <row r="28" spans="1:8" x14ac:dyDescent="0.25">
      <c r="A28" s="22"/>
      <c r="B28" s="22">
        <v>9</v>
      </c>
      <c r="C28" s="22" t="s">
        <v>416</v>
      </c>
      <c r="D28" s="18" t="s">
        <v>667</v>
      </c>
      <c r="E28" s="8" t="s">
        <v>25</v>
      </c>
      <c r="F28" s="9">
        <f t="shared" si="0"/>
        <v>0</v>
      </c>
      <c r="G28" s="9"/>
      <c r="H28" s="10"/>
    </row>
    <row r="29" spans="1:8" x14ac:dyDescent="0.25">
      <c r="A29" s="22"/>
      <c r="B29" s="22">
        <v>9</v>
      </c>
      <c r="C29" s="22" t="s">
        <v>654</v>
      </c>
      <c r="D29" s="20"/>
      <c r="E29" s="8" t="s">
        <v>26</v>
      </c>
      <c r="F29" s="9">
        <f t="shared" si="0"/>
        <v>0</v>
      </c>
      <c r="G29" s="9"/>
      <c r="H29" s="10"/>
    </row>
    <row r="30" spans="1:8" x14ac:dyDescent="0.25">
      <c r="A30" s="22"/>
      <c r="B30" s="22">
        <v>9</v>
      </c>
      <c r="C30" s="22" t="s">
        <v>416</v>
      </c>
      <c r="D30" s="18" t="s">
        <v>24</v>
      </c>
      <c r="E30" s="8" t="s">
        <v>25</v>
      </c>
      <c r="F30" s="9">
        <f t="shared" si="0"/>
        <v>0</v>
      </c>
      <c r="G30" s="9"/>
      <c r="H30" s="10"/>
    </row>
    <row r="31" spans="1:8" x14ac:dyDescent="0.25">
      <c r="A31" s="22"/>
      <c r="B31" s="22">
        <v>9</v>
      </c>
      <c r="C31" s="22" t="s">
        <v>654</v>
      </c>
      <c r="D31" s="20"/>
      <c r="E31" s="8" t="s">
        <v>26</v>
      </c>
      <c r="F31" s="9">
        <f t="shared" si="0"/>
        <v>0</v>
      </c>
      <c r="G31" s="9"/>
      <c r="H31" s="10"/>
    </row>
    <row r="32" spans="1:8" x14ac:dyDescent="0.25">
      <c r="A32" s="22"/>
      <c r="B32" s="22">
        <v>10</v>
      </c>
      <c r="C32" s="22"/>
      <c r="D32" s="24" t="s">
        <v>27</v>
      </c>
      <c r="E32" s="8" t="s">
        <v>13</v>
      </c>
      <c r="F32" s="9">
        <f t="shared" si="0"/>
        <v>1</v>
      </c>
      <c r="G32" s="9"/>
      <c r="H32" s="10"/>
    </row>
    <row r="33" spans="1:8" x14ac:dyDescent="0.25">
      <c r="A33" s="22"/>
      <c r="B33" s="22">
        <v>11</v>
      </c>
      <c r="C33" s="22"/>
      <c r="D33" s="24" t="s">
        <v>28</v>
      </c>
      <c r="E33" s="8" t="s">
        <v>13</v>
      </c>
      <c r="F33" s="9">
        <f t="shared" si="0"/>
        <v>1</v>
      </c>
      <c r="G33" s="9"/>
      <c r="H33" s="10"/>
    </row>
    <row r="34" spans="1:8" x14ac:dyDescent="0.25">
      <c r="A34" s="22"/>
      <c r="B34" s="22">
        <v>12</v>
      </c>
      <c r="C34" s="22"/>
      <c r="D34" s="24" t="s">
        <v>29</v>
      </c>
      <c r="E34" s="8" t="s">
        <v>13</v>
      </c>
      <c r="F34" s="9">
        <f t="shared" si="0"/>
        <v>1</v>
      </c>
      <c r="G34" s="9"/>
      <c r="H34" s="10"/>
    </row>
    <row r="35" spans="1:8" ht="15.75" x14ac:dyDescent="0.25">
      <c r="A35" s="22"/>
      <c r="B35" s="22">
        <v>13</v>
      </c>
      <c r="C35" s="22" t="s">
        <v>416</v>
      </c>
      <c r="D35" s="18" t="s">
        <v>419</v>
      </c>
      <c r="E35" s="14" t="s">
        <v>420</v>
      </c>
      <c r="F35" s="9">
        <f t="shared" si="0"/>
        <v>0</v>
      </c>
      <c r="G35" s="9"/>
      <c r="H35" s="10"/>
    </row>
    <row r="36" spans="1:8" x14ac:dyDescent="0.25">
      <c r="A36" s="22"/>
      <c r="B36" s="22">
        <v>13</v>
      </c>
      <c r="C36" s="22" t="s">
        <v>654</v>
      </c>
      <c r="D36" s="19"/>
      <c r="E36" s="16" t="s">
        <v>421</v>
      </c>
      <c r="F36" s="9">
        <f t="shared" si="0"/>
        <v>0</v>
      </c>
      <c r="G36" s="9"/>
      <c r="H36" s="10"/>
    </row>
    <row r="37" spans="1:8" x14ac:dyDescent="0.25">
      <c r="A37" s="22"/>
      <c r="B37" s="22">
        <v>13</v>
      </c>
      <c r="C37" s="22" t="s">
        <v>657</v>
      </c>
      <c r="D37" s="19"/>
      <c r="E37" s="10" t="s">
        <v>422</v>
      </c>
      <c r="F37" s="9">
        <f t="shared" si="0"/>
        <v>0</v>
      </c>
      <c r="G37" s="9"/>
      <c r="H37" s="10"/>
    </row>
    <row r="38" spans="1:8" x14ac:dyDescent="0.25">
      <c r="A38" s="22"/>
      <c r="B38" s="22">
        <v>13</v>
      </c>
      <c r="C38" s="22" t="s">
        <v>658</v>
      </c>
      <c r="D38" s="19"/>
      <c r="E38" s="10" t="s">
        <v>423</v>
      </c>
      <c r="F38" s="9">
        <f t="shared" si="0"/>
        <v>0</v>
      </c>
      <c r="G38" s="9"/>
      <c r="H38" s="10"/>
    </row>
    <row r="39" spans="1:8" x14ac:dyDescent="0.25">
      <c r="A39" s="22"/>
      <c r="B39" s="22">
        <v>13</v>
      </c>
      <c r="C39" s="22" t="s">
        <v>659</v>
      </c>
      <c r="D39" s="19"/>
      <c r="E39" s="10" t="s">
        <v>424</v>
      </c>
      <c r="F39" s="9">
        <f t="shared" si="0"/>
        <v>0</v>
      </c>
      <c r="G39" s="9"/>
      <c r="H39" s="10"/>
    </row>
    <row r="40" spans="1:8" x14ac:dyDescent="0.25">
      <c r="A40" s="22"/>
      <c r="B40" s="22">
        <v>13</v>
      </c>
      <c r="C40" s="22" t="s">
        <v>661</v>
      </c>
      <c r="D40" s="19"/>
      <c r="E40" s="10" t="s">
        <v>425</v>
      </c>
      <c r="F40" s="9">
        <f t="shared" si="0"/>
        <v>0</v>
      </c>
      <c r="G40" s="9"/>
      <c r="H40" s="10"/>
    </row>
    <row r="41" spans="1:8" x14ac:dyDescent="0.25">
      <c r="A41" s="22"/>
      <c r="B41" s="22">
        <v>13</v>
      </c>
      <c r="C41" s="22" t="s">
        <v>655</v>
      </c>
      <c r="D41" s="19"/>
      <c r="E41" s="10" t="s">
        <v>426</v>
      </c>
      <c r="F41" s="9">
        <f t="shared" si="0"/>
        <v>0</v>
      </c>
      <c r="G41" s="9"/>
      <c r="H41" s="10"/>
    </row>
    <row r="42" spans="1:8" x14ac:dyDescent="0.25">
      <c r="A42" s="22"/>
      <c r="B42" s="22">
        <v>13</v>
      </c>
      <c r="C42" s="22" t="s">
        <v>656</v>
      </c>
      <c r="D42" s="19"/>
      <c r="E42" s="10" t="s">
        <v>427</v>
      </c>
      <c r="F42" s="9">
        <f t="shared" si="0"/>
        <v>0</v>
      </c>
      <c r="G42" s="9"/>
      <c r="H42" s="10"/>
    </row>
    <row r="43" spans="1:8" x14ac:dyDescent="0.25">
      <c r="A43" s="22"/>
      <c r="B43" s="22">
        <v>13</v>
      </c>
      <c r="C43" s="22" t="s">
        <v>414</v>
      </c>
      <c r="D43" s="19"/>
      <c r="E43" s="10" t="s">
        <v>428</v>
      </c>
      <c r="F43" s="9">
        <f t="shared" si="0"/>
        <v>0</v>
      </c>
      <c r="G43" s="9"/>
      <c r="H43" s="10"/>
    </row>
    <row r="44" spans="1:8" x14ac:dyDescent="0.25">
      <c r="A44" s="22"/>
      <c r="B44" s="22">
        <v>13</v>
      </c>
      <c r="C44" s="22" t="s">
        <v>662</v>
      </c>
      <c r="D44" s="19"/>
      <c r="E44" s="10" t="s">
        <v>429</v>
      </c>
      <c r="F44" s="9">
        <f t="shared" si="0"/>
        <v>0</v>
      </c>
      <c r="G44" s="9"/>
      <c r="H44" s="10"/>
    </row>
    <row r="45" spans="1:8" x14ac:dyDescent="0.25">
      <c r="A45" s="22"/>
      <c r="B45" s="22">
        <v>13</v>
      </c>
      <c r="C45" s="22" t="s">
        <v>663</v>
      </c>
      <c r="D45" s="19"/>
      <c r="E45" s="10" t="s">
        <v>430</v>
      </c>
      <c r="F45" s="9">
        <f t="shared" si="0"/>
        <v>0</v>
      </c>
      <c r="G45" s="9"/>
      <c r="H45" s="10"/>
    </row>
    <row r="46" spans="1:8" x14ac:dyDescent="0.25">
      <c r="A46" s="22"/>
      <c r="B46" s="22">
        <v>13</v>
      </c>
      <c r="C46" s="22" t="s">
        <v>415</v>
      </c>
      <c r="D46" s="19"/>
      <c r="E46" s="16" t="s">
        <v>431</v>
      </c>
      <c r="F46" s="9">
        <f t="shared" si="0"/>
        <v>0</v>
      </c>
      <c r="G46" s="9"/>
      <c r="H46" s="10"/>
    </row>
    <row r="47" spans="1:8" x14ac:dyDescent="0.25">
      <c r="A47" s="22"/>
      <c r="B47" s="22">
        <v>13</v>
      </c>
      <c r="C47" s="22" t="s">
        <v>664</v>
      </c>
      <c r="D47" s="19"/>
      <c r="E47" s="10" t="s">
        <v>432</v>
      </c>
      <c r="F47" s="9">
        <f t="shared" si="0"/>
        <v>0</v>
      </c>
      <c r="G47" s="9"/>
      <c r="H47" s="10"/>
    </row>
    <row r="48" spans="1:8" x14ac:dyDescent="0.25">
      <c r="A48" s="22"/>
      <c r="B48" s="22">
        <v>13</v>
      </c>
      <c r="C48" s="22" t="s">
        <v>660</v>
      </c>
      <c r="D48" s="19"/>
      <c r="E48" s="10" t="s">
        <v>433</v>
      </c>
      <c r="F48" s="9">
        <f t="shared" si="0"/>
        <v>0</v>
      </c>
      <c r="G48" s="9"/>
      <c r="H48" s="10"/>
    </row>
    <row r="49" spans="1:8" ht="15.75" x14ac:dyDescent="0.25">
      <c r="A49" s="22"/>
      <c r="B49" s="22">
        <v>17</v>
      </c>
      <c r="C49" s="22" t="s">
        <v>416</v>
      </c>
      <c r="E49" s="14" t="s">
        <v>434</v>
      </c>
      <c r="F49" s="9">
        <f t="shared" si="0"/>
        <v>0</v>
      </c>
      <c r="G49" s="10"/>
      <c r="H49" s="10"/>
    </row>
    <row r="50" spans="1:8" x14ac:dyDescent="0.25">
      <c r="A50" s="22"/>
      <c r="B50" s="22">
        <v>17</v>
      </c>
      <c r="C50" s="22" t="s">
        <v>654</v>
      </c>
      <c r="D50" s="19"/>
      <c r="E50" s="16" t="s">
        <v>435</v>
      </c>
      <c r="F50" s="9">
        <f t="shared" si="0"/>
        <v>0</v>
      </c>
      <c r="G50" s="9"/>
      <c r="H50" s="10"/>
    </row>
    <row r="51" spans="1:8" x14ac:dyDescent="0.25">
      <c r="A51" s="22"/>
      <c r="B51" s="22">
        <v>17</v>
      </c>
      <c r="C51" s="22" t="s">
        <v>657</v>
      </c>
      <c r="D51" s="19"/>
      <c r="E51" s="10" t="s">
        <v>436</v>
      </c>
      <c r="F51" s="9">
        <f t="shared" si="0"/>
        <v>0</v>
      </c>
      <c r="G51" s="9"/>
      <c r="H51" s="10"/>
    </row>
    <row r="52" spans="1:8" x14ac:dyDescent="0.25">
      <c r="A52" s="22"/>
      <c r="B52" s="22">
        <v>17</v>
      </c>
      <c r="C52" s="22" t="s">
        <v>658</v>
      </c>
      <c r="D52" s="19"/>
      <c r="E52" s="10" t="s">
        <v>437</v>
      </c>
      <c r="F52" s="9">
        <f t="shared" si="0"/>
        <v>0</v>
      </c>
      <c r="G52" s="9"/>
      <c r="H52" s="10"/>
    </row>
    <row r="53" spans="1:8" x14ac:dyDescent="0.25">
      <c r="A53" s="22"/>
      <c r="B53" s="22">
        <v>17</v>
      </c>
      <c r="C53" s="22" t="s">
        <v>659</v>
      </c>
      <c r="D53" s="19"/>
      <c r="E53" s="10" t="s">
        <v>438</v>
      </c>
      <c r="F53" s="9">
        <f t="shared" si="0"/>
        <v>0</v>
      </c>
      <c r="G53" s="9"/>
      <c r="H53" s="10"/>
    </row>
    <row r="54" spans="1:8" x14ac:dyDescent="0.25">
      <c r="A54" s="22"/>
      <c r="B54" s="22">
        <v>17</v>
      </c>
      <c r="C54" s="22" t="s">
        <v>661</v>
      </c>
      <c r="D54" s="19"/>
      <c r="E54" s="16" t="s">
        <v>439</v>
      </c>
      <c r="F54" s="9">
        <f t="shared" si="0"/>
        <v>0</v>
      </c>
      <c r="G54" s="9"/>
      <c r="H54" s="10"/>
    </row>
    <row r="55" spans="1:8" x14ac:dyDescent="0.25">
      <c r="A55" s="22"/>
      <c r="B55" s="22">
        <v>17</v>
      </c>
      <c r="C55" s="22" t="s">
        <v>655</v>
      </c>
      <c r="D55" s="19"/>
      <c r="E55" s="10" t="s">
        <v>440</v>
      </c>
      <c r="F55" s="9">
        <f t="shared" si="0"/>
        <v>0</v>
      </c>
      <c r="G55" s="9"/>
      <c r="H55" s="10"/>
    </row>
    <row r="56" spans="1:8" ht="15.75" x14ac:dyDescent="0.25">
      <c r="A56" s="22"/>
      <c r="B56" s="22">
        <v>17</v>
      </c>
      <c r="C56" s="22"/>
      <c r="D56" s="19"/>
      <c r="E56" s="14" t="s">
        <v>567</v>
      </c>
      <c r="F56" s="9">
        <f t="shared" si="0"/>
        <v>0</v>
      </c>
      <c r="G56" s="10"/>
      <c r="H56" s="10"/>
    </row>
    <row r="57" spans="1:8" x14ac:dyDescent="0.25">
      <c r="A57" s="22"/>
      <c r="B57" s="22">
        <v>17</v>
      </c>
      <c r="C57" s="22"/>
      <c r="D57" s="19"/>
      <c r="E57" s="16" t="s">
        <v>568</v>
      </c>
      <c r="F57" s="9">
        <f t="shared" si="0"/>
        <v>0</v>
      </c>
      <c r="G57" s="10"/>
      <c r="H57" s="10"/>
    </row>
    <row r="58" spans="1:8" x14ac:dyDescent="0.25">
      <c r="A58" s="22"/>
      <c r="B58" s="22">
        <v>17</v>
      </c>
      <c r="C58" s="22"/>
      <c r="D58" s="19"/>
      <c r="E58" s="10" t="s">
        <v>569</v>
      </c>
      <c r="F58" s="9">
        <f t="shared" si="0"/>
        <v>0</v>
      </c>
      <c r="G58" s="10"/>
      <c r="H58" s="10"/>
    </row>
    <row r="59" spans="1:8" x14ac:dyDescent="0.25">
      <c r="A59" s="22"/>
      <c r="B59" s="22">
        <v>17</v>
      </c>
      <c r="C59" s="22"/>
      <c r="D59" s="19"/>
      <c r="E59" s="10" t="s">
        <v>570</v>
      </c>
      <c r="F59" s="9">
        <f t="shared" si="0"/>
        <v>0</v>
      </c>
      <c r="G59" s="10"/>
      <c r="H59" s="10"/>
    </row>
    <row r="60" spans="1:8" x14ac:dyDescent="0.25">
      <c r="A60" s="29"/>
      <c r="B60" s="29">
        <v>17</v>
      </c>
      <c r="C60" s="22"/>
      <c r="D60" s="19"/>
      <c r="E60" s="16" t="s">
        <v>571</v>
      </c>
      <c r="F60" s="9">
        <f t="shared" si="0"/>
        <v>0</v>
      </c>
      <c r="G60" s="10"/>
      <c r="H60" s="10"/>
    </row>
    <row r="61" spans="1:8" x14ac:dyDescent="0.25">
      <c r="A61" s="30"/>
      <c r="B61" s="22"/>
      <c r="C61" s="22"/>
      <c r="D61" s="19"/>
      <c r="E61" s="10" t="s">
        <v>572</v>
      </c>
      <c r="F61" s="9"/>
      <c r="G61" s="10"/>
      <c r="H61" s="10"/>
    </row>
    <row r="62" spans="1:8" x14ac:dyDescent="0.25">
      <c r="A62" s="22" t="s">
        <v>677</v>
      </c>
      <c r="B62" s="22">
        <v>15</v>
      </c>
      <c r="C62" s="22" t="s">
        <v>416</v>
      </c>
      <c r="D62" s="83" t="s">
        <v>678</v>
      </c>
      <c r="E62" s="8" t="s">
        <v>25</v>
      </c>
      <c r="F62" s="9">
        <f>IF(E62="(Fill)",1,0)</f>
        <v>0</v>
      </c>
      <c r="G62" s="9"/>
      <c r="H62" s="10"/>
    </row>
    <row r="63" spans="1:8" x14ac:dyDescent="0.25">
      <c r="A63" s="22"/>
      <c r="B63" s="22">
        <v>15</v>
      </c>
      <c r="C63" s="22" t="s">
        <v>654</v>
      </c>
      <c r="D63" s="83"/>
      <c r="E63" s="8" t="s">
        <v>26</v>
      </c>
      <c r="F63" s="9">
        <f>IF(E63="(Fill)",1,0)</f>
        <v>0</v>
      </c>
      <c r="G63" s="9"/>
      <c r="H63" s="10"/>
    </row>
    <row r="64" spans="1:8" x14ac:dyDescent="0.25">
      <c r="A64" s="22"/>
      <c r="B64" s="22"/>
      <c r="C64" s="22"/>
      <c r="D64" s="24" t="s">
        <v>680</v>
      </c>
      <c r="E64" s="8" t="s">
        <v>13</v>
      </c>
      <c r="F64" s="9"/>
      <c r="G64" s="9"/>
      <c r="H64" s="10"/>
    </row>
    <row r="65" spans="1:8" x14ac:dyDescent="0.25">
      <c r="A65" s="22"/>
      <c r="B65" s="22">
        <v>16</v>
      </c>
      <c r="C65" s="22" t="s">
        <v>416</v>
      </c>
      <c r="D65" s="83" t="s">
        <v>679</v>
      </c>
      <c r="E65" s="8" t="s">
        <v>39</v>
      </c>
      <c r="F65" s="9">
        <f t="shared" ref="F65:F76" si="1">IF(E65="(Fill)",1,0)</f>
        <v>0</v>
      </c>
      <c r="G65" s="9"/>
      <c r="H65" s="10"/>
    </row>
    <row r="66" spans="1:8" x14ac:dyDescent="0.25">
      <c r="A66" s="22"/>
      <c r="B66" s="22">
        <v>16</v>
      </c>
      <c r="C66" s="22" t="s">
        <v>654</v>
      </c>
      <c r="D66" s="83"/>
      <c r="E66" s="8" t="s">
        <v>46</v>
      </c>
      <c r="F66" s="9">
        <f t="shared" si="1"/>
        <v>0</v>
      </c>
      <c r="G66" s="9"/>
      <c r="H66" s="10"/>
    </row>
    <row r="67" spans="1:8" x14ac:dyDescent="0.25">
      <c r="A67" s="22"/>
      <c r="B67" s="22">
        <v>17</v>
      </c>
      <c r="C67" s="22" t="s">
        <v>654</v>
      </c>
      <c r="D67" s="24" t="s">
        <v>681</v>
      </c>
      <c r="E67" s="8" t="s">
        <v>13</v>
      </c>
      <c r="F67" s="9">
        <f t="shared" si="1"/>
        <v>1</v>
      </c>
      <c r="G67" s="9"/>
      <c r="H67" s="10"/>
    </row>
    <row r="68" spans="1:8" ht="15.75" x14ac:dyDescent="0.25">
      <c r="A68" s="22"/>
      <c r="B68" s="22">
        <v>17</v>
      </c>
      <c r="C68" s="22" t="s">
        <v>662</v>
      </c>
      <c r="D68" s="18" t="s">
        <v>419</v>
      </c>
      <c r="E68" s="14" t="s">
        <v>443</v>
      </c>
      <c r="F68" s="9">
        <f t="shared" si="1"/>
        <v>0</v>
      </c>
      <c r="G68" s="14"/>
      <c r="H68" s="10"/>
    </row>
    <row r="69" spans="1:8" x14ac:dyDescent="0.25">
      <c r="A69" s="22"/>
      <c r="B69" s="22">
        <v>17</v>
      </c>
      <c r="C69" s="22" t="s">
        <v>663</v>
      </c>
      <c r="D69" s="19"/>
      <c r="E69" s="16" t="s">
        <v>444</v>
      </c>
      <c r="F69" s="9">
        <f t="shared" si="1"/>
        <v>0</v>
      </c>
      <c r="G69" s="10"/>
      <c r="H69" s="10"/>
    </row>
    <row r="70" spans="1:8" x14ac:dyDescent="0.25">
      <c r="A70" s="22"/>
      <c r="B70" s="22">
        <v>17</v>
      </c>
      <c r="C70" s="22" t="s">
        <v>415</v>
      </c>
      <c r="D70" s="19"/>
      <c r="E70" s="10" t="s">
        <v>445</v>
      </c>
      <c r="F70" s="9">
        <f t="shared" si="1"/>
        <v>0</v>
      </c>
      <c r="G70" s="10"/>
      <c r="H70" s="10"/>
    </row>
    <row r="71" spans="1:8" x14ac:dyDescent="0.25">
      <c r="A71" s="22"/>
      <c r="B71" s="22">
        <v>17</v>
      </c>
      <c r="C71" s="22" t="s">
        <v>664</v>
      </c>
      <c r="D71" s="19"/>
      <c r="E71" s="10" t="s">
        <v>446</v>
      </c>
      <c r="F71" s="9">
        <f t="shared" si="1"/>
        <v>0</v>
      </c>
      <c r="G71" s="10"/>
      <c r="H71" s="10"/>
    </row>
    <row r="72" spans="1:8" x14ac:dyDescent="0.25">
      <c r="A72" s="22"/>
      <c r="B72" s="22">
        <v>17</v>
      </c>
      <c r="C72" s="22" t="s">
        <v>660</v>
      </c>
      <c r="D72" s="19"/>
      <c r="E72" s="10" t="s">
        <v>447</v>
      </c>
      <c r="F72" s="9">
        <f t="shared" si="1"/>
        <v>0</v>
      </c>
      <c r="G72" s="10"/>
      <c r="H72" s="10"/>
    </row>
    <row r="73" spans="1:8" x14ac:dyDescent="0.25">
      <c r="A73" s="22"/>
      <c r="B73" s="22">
        <v>17</v>
      </c>
      <c r="C73" s="22" t="s">
        <v>416</v>
      </c>
      <c r="D73" s="19"/>
      <c r="E73" s="10" t="s">
        <v>448</v>
      </c>
      <c r="F73" s="9">
        <f t="shared" si="1"/>
        <v>0</v>
      </c>
      <c r="G73" s="10"/>
      <c r="H73" s="10"/>
    </row>
    <row r="74" spans="1:8" x14ac:dyDescent="0.25">
      <c r="A74" s="22"/>
      <c r="B74" s="22">
        <v>17</v>
      </c>
      <c r="C74" s="22" t="s">
        <v>654</v>
      </c>
      <c r="D74" s="19"/>
      <c r="E74" s="16" t="s">
        <v>449</v>
      </c>
      <c r="F74" s="9">
        <f t="shared" si="1"/>
        <v>0</v>
      </c>
      <c r="G74" s="10"/>
      <c r="H74" s="10"/>
    </row>
    <row r="75" spans="1:8" x14ac:dyDescent="0.25">
      <c r="A75" s="22"/>
      <c r="B75" s="22">
        <v>17</v>
      </c>
      <c r="C75" s="22" t="s">
        <v>657</v>
      </c>
      <c r="D75" s="19"/>
      <c r="E75" s="10" t="s">
        <v>450</v>
      </c>
      <c r="F75" s="9">
        <f t="shared" si="1"/>
        <v>0</v>
      </c>
      <c r="G75" s="10"/>
      <c r="H75" s="10"/>
    </row>
    <row r="76" spans="1:8" x14ac:dyDescent="0.25">
      <c r="A76" s="22"/>
      <c r="B76" s="22">
        <v>17</v>
      </c>
      <c r="C76" s="22" t="s">
        <v>658</v>
      </c>
      <c r="D76" s="19"/>
      <c r="E76" s="10" t="s">
        <v>451</v>
      </c>
      <c r="F76" s="9">
        <f t="shared" si="1"/>
        <v>0</v>
      </c>
      <c r="G76" s="10"/>
      <c r="H76" s="10"/>
    </row>
    <row r="77" spans="1:8" ht="15.75" x14ac:dyDescent="0.25">
      <c r="A77" s="22"/>
      <c r="B77" s="22">
        <v>17</v>
      </c>
      <c r="C77" s="22" t="s">
        <v>659</v>
      </c>
      <c r="D77" s="19"/>
      <c r="E77" s="14" t="s">
        <v>452</v>
      </c>
      <c r="F77" s="9">
        <f>IF(E107="(Fill)",1,0)</f>
        <v>0</v>
      </c>
      <c r="G77" s="10"/>
      <c r="H77" s="10"/>
    </row>
    <row r="78" spans="1:8" x14ac:dyDescent="0.25">
      <c r="A78" s="22"/>
      <c r="B78" s="22"/>
      <c r="C78" s="22"/>
      <c r="D78" s="19"/>
      <c r="E78" s="16" t="s">
        <v>459</v>
      </c>
      <c r="F78" s="9">
        <f t="shared" ref="F78:F107" si="2">IF(E108="(Fill)",1,0)</f>
        <v>0</v>
      </c>
      <c r="G78" s="10"/>
      <c r="H78" s="10"/>
    </row>
    <row r="79" spans="1:8" x14ac:dyDescent="0.25">
      <c r="A79" s="22"/>
      <c r="B79" s="22"/>
      <c r="C79" s="22"/>
      <c r="D79" s="19"/>
      <c r="E79" s="10" t="s">
        <v>460</v>
      </c>
      <c r="F79" s="9">
        <f t="shared" si="2"/>
        <v>0</v>
      </c>
      <c r="G79" s="10"/>
      <c r="H79" s="10"/>
    </row>
    <row r="80" spans="1:8" x14ac:dyDescent="0.25">
      <c r="A80" s="22"/>
      <c r="B80" s="22"/>
      <c r="C80" s="22"/>
      <c r="D80" s="19"/>
      <c r="E80" s="10" t="s">
        <v>461</v>
      </c>
      <c r="F80" s="9">
        <f t="shared" si="2"/>
        <v>0</v>
      </c>
      <c r="G80" s="10"/>
      <c r="H80" s="10"/>
    </row>
    <row r="81" spans="1:8" x14ac:dyDescent="0.25">
      <c r="A81" s="22"/>
      <c r="B81" s="22"/>
      <c r="C81" s="22"/>
      <c r="D81" s="19"/>
      <c r="E81" s="16" t="s">
        <v>462</v>
      </c>
      <c r="F81" s="9">
        <f t="shared" si="2"/>
        <v>0</v>
      </c>
      <c r="G81" s="10"/>
      <c r="H81" s="10"/>
    </row>
    <row r="82" spans="1:8" x14ac:dyDescent="0.25">
      <c r="A82" s="22"/>
      <c r="B82" s="22"/>
      <c r="C82" s="22"/>
      <c r="D82" s="19"/>
      <c r="E82" s="10" t="s">
        <v>463</v>
      </c>
      <c r="F82" s="9">
        <f t="shared" si="2"/>
        <v>0</v>
      </c>
      <c r="G82" s="10"/>
      <c r="H82" s="10"/>
    </row>
    <row r="83" spans="1:8" x14ac:dyDescent="0.25">
      <c r="A83" s="22"/>
      <c r="B83" s="22"/>
      <c r="C83" s="22"/>
      <c r="D83" s="19"/>
      <c r="E83" s="10" t="s">
        <v>464</v>
      </c>
      <c r="F83" s="9">
        <f t="shared" si="2"/>
        <v>0</v>
      </c>
      <c r="G83" s="10"/>
      <c r="H83" s="10"/>
    </row>
    <row r="84" spans="1:8" x14ac:dyDescent="0.25">
      <c r="A84" s="22"/>
      <c r="B84" s="22"/>
      <c r="C84" s="22"/>
      <c r="D84" s="19"/>
      <c r="E84" s="10" t="s">
        <v>465</v>
      </c>
      <c r="F84" s="9">
        <f t="shared" si="2"/>
        <v>0</v>
      </c>
      <c r="G84" s="10"/>
      <c r="H84" s="10"/>
    </row>
    <row r="85" spans="1:8" x14ac:dyDescent="0.25">
      <c r="A85" s="22"/>
      <c r="B85" s="22"/>
      <c r="C85" s="22"/>
      <c r="D85" s="19"/>
      <c r="E85" s="10" t="s">
        <v>466</v>
      </c>
      <c r="F85" s="9">
        <f t="shared" si="2"/>
        <v>0</v>
      </c>
      <c r="G85" s="10"/>
      <c r="H85" s="10"/>
    </row>
    <row r="86" spans="1:8" x14ac:dyDescent="0.25">
      <c r="A86" s="22"/>
      <c r="B86" s="22"/>
      <c r="C86" s="22"/>
      <c r="D86" s="19"/>
      <c r="E86" s="16" t="s">
        <v>467</v>
      </c>
      <c r="F86" s="9">
        <f t="shared" si="2"/>
        <v>0</v>
      </c>
      <c r="G86" s="10"/>
      <c r="H86" s="10"/>
    </row>
    <row r="87" spans="1:8" x14ac:dyDescent="0.25">
      <c r="A87" s="22"/>
      <c r="B87" s="22"/>
      <c r="C87" s="22"/>
      <c r="D87" s="19"/>
      <c r="E87" s="10" t="s">
        <v>468</v>
      </c>
      <c r="F87" s="9">
        <f t="shared" si="2"/>
        <v>0</v>
      </c>
      <c r="G87" s="10"/>
      <c r="H87" s="10"/>
    </row>
    <row r="88" spans="1:8" x14ac:dyDescent="0.25">
      <c r="A88" s="22"/>
      <c r="B88" s="22"/>
      <c r="C88" s="22"/>
      <c r="D88" s="19"/>
      <c r="E88" s="10" t="s">
        <v>469</v>
      </c>
      <c r="F88" s="9">
        <f t="shared" si="2"/>
        <v>0</v>
      </c>
      <c r="G88" s="10"/>
      <c r="H88" s="10"/>
    </row>
    <row r="89" spans="1:8" x14ac:dyDescent="0.25">
      <c r="A89" s="22"/>
      <c r="B89" s="22"/>
      <c r="C89" s="22"/>
      <c r="D89" s="19"/>
      <c r="E89" s="10" t="s">
        <v>470</v>
      </c>
      <c r="F89" s="9">
        <f t="shared" si="2"/>
        <v>0</v>
      </c>
      <c r="G89" s="10"/>
      <c r="H89" s="10"/>
    </row>
    <row r="90" spans="1:8" x14ac:dyDescent="0.25">
      <c r="A90" s="22"/>
      <c r="B90" s="22"/>
      <c r="C90" s="22"/>
      <c r="D90" s="19"/>
      <c r="E90" s="10" t="s">
        <v>471</v>
      </c>
      <c r="F90" s="9">
        <f t="shared" si="2"/>
        <v>0</v>
      </c>
      <c r="G90" s="10"/>
      <c r="H90" s="10"/>
    </row>
    <row r="91" spans="1:8" x14ac:dyDescent="0.25">
      <c r="A91" s="22"/>
      <c r="B91" s="22"/>
      <c r="C91" s="22"/>
      <c r="D91" s="19"/>
      <c r="E91" s="10" t="s">
        <v>472</v>
      </c>
      <c r="F91" s="9">
        <f t="shared" si="2"/>
        <v>0</v>
      </c>
      <c r="G91" s="10"/>
      <c r="H91" s="10"/>
    </row>
    <row r="92" spans="1:8" ht="15.75" x14ac:dyDescent="0.25">
      <c r="A92" s="22"/>
      <c r="B92" s="22"/>
      <c r="C92" s="22"/>
      <c r="D92" s="19"/>
      <c r="E92" s="14" t="s">
        <v>473</v>
      </c>
      <c r="F92" s="9">
        <f t="shared" si="2"/>
        <v>0</v>
      </c>
      <c r="G92" s="10"/>
      <c r="H92" s="10"/>
    </row>
    <row r="93" spans="1:8" x14ac:dyDescent="0.25">
      <c r="A93" s="22"/>
      <c r="B93" s="22"/>
      <c r="C93" s="22"/>
      <c r="D93" s="19"/>
      <c r="E93" s="16" t="s">
        <v>474</v>
      </c>
      <c r="F93" s="9">
        <f t="shared" si="2"/>
        <v>0</v>
      </c>
      <c r="G93" s="10"/>
      <c r="H93" s="10"/>
    </row>
    <row r="94" spans="1:8" x14ac:dyDescent="0.25">
      <c r="A94" s="22"/>
      <c r="B94" s="22"/>
      <c r="C94" s="22"/>
      <c r="D94" s="19"/>
      <c r="E94" s="10" t="s">
        <v>477</v>
      </c>
      <c r="F94" s="9">
        <f t="shared" si="2"/>
        <v>0</v>
      </c>
      <c r="G94" s="10"/>
      <c r="H94" s="10"/>
    </row>
    <row r="95" spans="1:8" x14ac:dyDescent="0.25">
      <c r="A95" s="22"/>
      <c r="B95" s="22"/>
      <c r="C95" s="22"/>
      <c r="D95" s="19"/>
      <c r="E95" s="16" t="s">
        <v>478</v>
      </c>
      <c r="F95" s="9">
        <f t="shared" si="2"/>
        <v>0</v>
      </c>
      <c r="G95" s="10"/>
      <c r="H95" s="10"/>
    </row>
    <row r="96" spans="1:8" x14ac:dyDescent="0.25">
      <c r="A96" s="22"/>
      <c r="B96" s="22"/>
      <c r="C96" s="22"/>
      <c r="D96" s="19"/>
      <c r="E96" s="10" t="s">
        <v>479</v>
      </c>
      <c r="F96" s="9">
        <f t="shared" si="2"/>
        <v>0</v>
      </c>
      <c r="G96" s="10"/>
      <c r="H96" s="10"/>
    </row>
    <row r="97" spans="1:8" x14ac:dyDescent="0.25">
      <c r="A97" s="22"/>
      <c r="B97" s="22"/>
      <c r="C97" s="22"/>
      <c r="D97" s="19"/>
      <c r="E97" s="16" t="s">
        <v>480</v>
      </c>
      <c r="F97" s="9">
        <f t="shared" si="2"/>
        <v>0</v>
      </c>
      <c r="G97" s="10"/>
      <c r="H97" s="10"/>
    </row>
    <row r="98" spans="1:8" x14ac:dyDescent="0.25">
      <c r="A98" s="22"/>
      <c r="B98" s="22"/>
      <c r="C98" s="22"/>
      <c r="D98" s="19"/>
      <c r="E98" s="10" t="s">
        <v>482</v>
      </c>
      <c r="F98" s="9">
        <f t="shared" si="2"/>
        <v>0</v>
      </c>
      <c r="G98" s="10"/>
      <c r="H98" s="10"/>
    </row>
    <row r="99" spans="1:8" x14ac:dyDescent="0.25">
      <c r="A99" s="22"/>
      <c r="B99" s="22"/>
      <c r="C99" s="22"/>
      <c r="D99" s="19"/>
      <c r="E99" s="10" t="s">
        <v>483</v>
      </c>
      <c r="F99" s="9">
        <f t="shared" si="2"/>
        <v>0</v>
      </c>
      <c r="G99" s="10"/>
      <c r="H99" s="10"/>
    </row>
    <row r="100" spans="1:8" x14ac:dyDescent="0.25">
      <c r="A100" s="22"/>
      <c r="B100" s="22"/>
      <c r="C100" s="22"/>
      <c r="D100" s="19"/>
      <c r="E100" s="16" t="s">
        <v>484</v>
      </c>
      <c r="F100" s="9">
        <f t="shared" si="2"/>
        <v>0</v>
      </c>
      <c r="G100" s="10"/>
      <c r="H100" s="10"/>
    </row>
    <row r="101" spans="1:8" x14ac:dyDescent="0.25">
      <c r="A101" s="22"/>
      <c r="B101" s="22"/>
      <c r="C101" s="22"/>
      <c r="D101" s="19"/>
      <c r="E101" s="10" t="s">
        <v>485</v>
      </c>
      <c r="F101" s="9">
        <f t="shared" si="2"/>
        <v>0</v>
      </c>
      <c r="G101" s="10"/>
      <c r="H101" s="10"/>
    </row>
    <row r="102" spans="1:8" x14ac:dyDescent="0.25">
      <c r="A102" s="22"/>
      <c r="B102" s="22"/>
      <c r="C102" s="22"/>
      <c r="D102" s="19"/>
      <c r="E102" s="16" t="s">
        <v>486</v>
      </c>
      <c r="F102" s="9">
        <f t="shared" si="2"/>
        <v>0</v>
      </c>
      <c r="G102" s="10"/>
      <c r="H102" s="10"/>
    </row>
    <row r="103" spans="1:8" x14ac:dyDescent="0.25">
      <c r="A103" s="22"/>
      <c r="B103" s="22"/>
      <c r="C103" s="22"/>
      <c r="D103" s="19"/>
      <c r="E103" s="10" t="s">
        <v>488</v>
      </c>
      <c r="F103" s="9">
        <f t="shared" si="2"/>
        <v>0</v>
      </c>
      <c r="G103" s="10"/>
      <c r="H103" s="10"/>
    </row>
    <row r="104" spans="1:8" x14ac:dyDescent="0.25">
      <c r="A104" s="22"/>
      <c r="B104" s="22"/>
      <c r="C104" s="22"/>
      <c r="D104" s="19"/>
      <c r="E104" s="16" t="s">
        <v>489</v>
      </c>
      <c r="F104" s="9">
        <f t="shared" si="2"/>
        <v>0</v>
      </c>
      <c r="G104" s="10"/>
      <c r="H104" s="10"/>
    </row>
    <row r="105" spans="1:8" x14ac:dyDescent="0.25">
      <c r="A105" s="22"/>
      <c r="B105" s="22"/>
      <c r="C105" s="22"/>
      <c r="D105" s="19"/>
      <c r="E105" s="10" t="s">
        <v>490</v>
      </c>
      <c r="F105" s="9">
        <f t="shared" si="2"/>
        <v>0</v>
      </c>
      <c r="G105" s="10"/>
      <c r="H105" s="10"/>
    </row>
    <row r="106" spans="1:8" x14ac:dyDescent="0.25">
      <c r="A106" s="22"/>
      <c r="B106" s="22"/>
      <c r="C106" s="22"/>
      <c r="D106" s="19"/>
      <c r="E106" s="10" t="s">
        <v>491</v>
      </c>
      <c r="F106" s="9">
        <f t="shared" si="2"/>
        <v>0</v>
      </c>
      <c r="G106" s="10"/>
      <c r="H106" s="10"/>
    </row>
    <row r="107" spans="1:8" ht="15.75" x14ac:dyDescent="0.25">
      <c r="A107" s="22"/>
      <c r="B107" s="22"/>
      <c r="C107" s="22"/>
      <c r="D107" s="19"/>
      <c r="E107" s="14" t="s">
        <v>492</v>
      </c>
      <c r="F107" s="9">
        <f t="shared" si="2"/>
        <v>0</v>
      </c>
      <c r="G107" s="10"/>
      <c r="H107" s="10"/>
    </row>
    <row r="108" spans="1:8" x14ac:dyDescent="0.25">
      <c r="A108" s="22"/>
      <c r="B108" s="22">
        <v>17</v>
      </c>
      <c r="C108" s="22" t="s">
        <v>661</v>
      </c>
      <c r="D108" s="19"/>
      <c r="E108" s="16" t="s">
        <v>493</v>
      </c>
      <c r="F108" s="9">
        <f t="shared" ref="F108:F171" si="3">IF(E108="(Fill)",1,0)</f>
        <v>0</v>
      </c>
      <c r="G108" s="10"/>
      <c r="H108" s="10"/>
    </row>
    <row r="109" spans="1:8" x14ac:dyDescent="0.25">
      <c r="A109" s="22"/>
      <c r="B109" s="22">
        <v>17</v>
      </c>
      <c r="C109" s="22" t="s">
        <v>655</v>
      </c>
      <c r="D109" s="19"/>
      <c r="E109" s="10" t="s">
        <v>494</v>
      </c>
      <c r="F109" s="9">
        <f t="shared" si="3"/>
        <v>0</v>
      </c>
      <c r="G109" s="10"/>
      <c r="H109" s="10"/>
    </row>
    <row r="110" spans="1:8" x14ac:dyDescent="0.25">
      <c r="A110" s="22"/>
      <c r="B110" s="22">
        <v>17</v>
      </c>
      <c r="C110" s="22" t="s">
        <v>656</v>
      </c>
      <c r="D110" s="19"/>
      <c r="E110" s="10" t="s">
        <v>495</v>
      </c>
      <c r="F110" s="9">
        <f t="shared" si="3"/>
        <v>0</v>
      </c>
      <c r="G110" s="10"/>
      <c r="H110" s="10"/>
    </row>
    <row r="111" spans="1:8" x14ac:dyDescent="0.25">
      <c r="A111" s="22"/>
      <c r="B111" s="22">
        <v>17</v>
      </c>
      <c r="C111" s="22" t="s">
        <v>662</v>
      </c>
      <c r="D111" s="19"/>
      <c r="E111" s="16" t="s">
        <v>497</v>
      </c>
      <c r="F111" s="9">
        <f t="shared" si="3"/>
        <v>0</v>
      </c>
      <c r="G111" s="10"/>
      <c r="H111" s="10"/>
    </row>
    <row r="112" spans="1:8" x14ac:dyDescent="0.25">
      <c r="A112" s="22"/>
      <c r="B112" s="22">
        <v>17</v>
      </c>
      <c r="C112" s="22" t="s">
        <v>663</v>
      </c>
      <c r="D112" s="19"/>
      <c r="E112" s="10" t="s">
        <v>498</v>
      </c>
      <c r="F112" s="9">
        <f t="shared" si="3"/>
        <v>0</v>
      </c>
      <c r="G112" s="10"/>
      <c r="H112" s="10"/>
    </row>
    <row r="113" spans="1:8" x14ac:dyDescent="0.25">
      <c r="A113" s="22"/>
      <c r="B113" s="22">
        <v>17</v>
      </c>
      <c r="C113" s="22" t="s">
        <v>415</v>
      </c>
      <c r="D113" s="19"/>
      <c r="E113" s="10" t="s">
        <v>499</v>
      </c>
      <c r="F113" s="9">
        <f t="shared" si="3"/>
        <v>0</v>
      </c>
      <c r="G113" s="10"/>
      <c r="H113" s="10"/>
    </row>
    <row r="114" spans="1:8" x14ac:dyDescent="0.25">
      <c r="A114" s="22"/>
      <c r="B114" s="22">
        <v>17</v>
      </c>
      <c r="C114" s="22" t="s">
        <v>664</v>
      </c>
      <c r="D114" s="19"/>
      <c r="E114" s="10" t="s">
        <v>500</v>
      </c>
      <c r="F114" s="9">
        <f t="shared" si="3"/>
        <v>0</v>
      </c>
      <c r="G114" s="10"/>
      <c r="H114" s="10"/>
    </row>
    <row r="115" spans="1:8" x14ac:dyDescent="0.25">
      <c r="A115" s="22"/>
      <c r="B115" s="22">
        <v>17</v>
      </c>
      <c r="C115" s="22" t="s">
        <v>660</v>
      </c>
      <c r="D115" s="19"/>
      <c r="E115" s="16" t="s">
        <v>501</v>
      </c>
      <c r="F115" s="9">
        <f t="shared" si="3"/>
        <v>0</v>
      </c>
      <c r="G115" s="10"/>
      <c r="H115" s="10"/>
    </row>
    <row r="116" spans="1:8" x14ac:dyDescent="0.25">
      <c r="A116" s="22"/>
      <c r="B116" s="22">
        <v>17</v>
      </c>
      <c r="C116" s="22" t="s">
        <v>416</v>
      </c>
      <c r="D116" s="19"/>
      <c r="E116" s="10" t="s">
        <v>502</v>
      </c>
      <c r="F116" s="9">
        <f t="shared" si="3"/>
        <v>0</v>
      </c>
      <c r="G116" s="10"/>
      <c r="H116" s="10"/>
    </row>
    <row r="117" spans="1:8" ht="15.75" x14ac:dyDescent="0.25">
      <c r="A117" s="22"/>
      <c r="B117" s="22">
        <v>17</v>
      </c>
      <c r="C117" s="22" t="s">
        <v>654</v>
      </c>
      <c r="D117" s="19"/>
      <c r="E117" s="14" t="s">
        <v>503</v>
      </c>
      <c r="F117" s="9">
        <f t="shared" si="3"/>
        <v>0</v>
      </c>
      <c r="G117" s="10"/>
      <c r="H117" s="10"/>
    </row>
    <row r="118" spans="1:8" x14ac:dyDescent="0.25">
      <c r="A118" s="22"/>
      <c r="B118" s="22">
        <v>17</v>
      </c>
      <c r="C118" s="22" t="s">
        <v>657</v>
      </c>
      <c r="D118" s="19"/>
      <c r="E118" s="16" t="s">
        <v>509</v>
      </c>
      <c r="F118" s="9">
        <f t="shared" si="3"/>
        <v>0</v>
      </c>
      <c r="G118" s="10"/>
      <c r="H118" s="10"/>
    </row>
    <row r="119" spans="1:8" x14ac:dyDescent="0.25">
      <c r="A119" s="22"/>
      <c r="B119" s="22">
        <v>17</v>
      </c>
      <c r="C119" s="22" t="s">
        <v>658</v>
      </c>
      <c r="D119" s="19"/>
      <c r="E119" s="10" t="s">
        <v>510</v>
      </c>
      <c r="F119" s="9">
        <f t="shared" si="3"/>
        <v>0</v>
      </c>
      <c r="G119" s="10"/>
      <c r="H119" s="10"/>
    </row>
    <row r="120" spans="1:8" x14ac:dyDescent="0.25">
      <c r="A120" s="22"/>
      <c r="B120" s="22">
        <v>17</v>
      </c>
      <c r="C120" s="22" t="s">
        <v>659</v>
      </c>
      <c r="D120" s="19"/>
      <c r="E120" s="10" t="s">
        <v>511</v>
      </c>
      <c r="F120" s="9">
        <f t="shared" si="3"/>
        <v>0</v>
      </c>
      <c r="G120" s="10"/>
      <c r="H120" s="10"/>
    </row>
    <row r="121" spans="1:8" x14ac:dyDescent="0.25">
      <c r="A121" s="22"/>
      <c r="B121" s="22">
        <v>17</v>
      </c>
      <c r="C121" s="22" t="s">
        <v>661</v>
      </c>
      <c r="D121" s="19"/>
      <c r="E121" s="10" t="s">
        <v>512</v>
      </c>
      <c r="F121" s="9">
        <f t="shared" si="3"/>
        <v>0</v>
      </c>
      <c r="G121" s="10"/>
      <c r="H121" s="10"/>
    </row>
    <row r="122" spans="1:8" x14ac:dyDescent="0.25">
      <c r="A122" s="22"/>
      <c r="B122" s="22">
        <v>17</v>
      </c>
      <c r="C122" s="22" t="s">
        <v>655</v>
      </c>
      <c r="D122" s="19"/>
      <c r="E122" s="10" t="s">
        <v>513</v>
      </c>
      <c r="F122" s="9">
        <f t="shared" si="3"/>
        <v>0</v>
      </c>
      <c r="G122" s="10"/>
      <c r="H122" s="10"/>
    </row>
    <row r="123" spans="1:8" x14ac:dyDescent="0.25">
      <c r="A123" s="22"/>
      <c r="B123" s="22">
        <v>17</v>
      </c>
      <c r="C123" s="22" t="s">
        <v>656</v>
      </c>
      <c r="D123" s="19"/>
      <c r="E123" s="16" t="s">
        <v>514</v>
      </c>
      <c r="F123" s="9">
        <f t="shared" si="3"/>
        <v>0</v>
      </c>
      <c r="G123" s="10"/>
      <c r="H123" s="10"/>
    </row>
    <row r="124" spans="1:8" x14ac:dyDescent="0.25">
      <c r="A124" s="22"/>
      <c r="B124" s="22">
        <v>17</v>
      </c>
      <c r="C124" s="22" t="s">
        <v>414</v>
      </c>
      <c r="D124" s="19"/>
      <c r="E124" s="10" t="s">
        <v>515</v>
      </c>
      <c r="F124" s="9">
        <f t="shared" si="3"/>
        <v>0</v>
      </c>
      <c r="G124" s="10"/>
      <c r="H124" s="10"/>
    </row>
    <row r="125" spans="1:8" x14ac:dyDescent="0.25">
      <c r="A125" s="22"/>
      <c r="B125" s="22">
        <v>17</v>
      </c>
      <c r="C125" s="22" t="s">
        <v>662</v>
      </c>
      <c r="D125" s="19"/>
      <c r="E125" s="10" t="s">
        <v>516</v>
      </c>
      <c r="F125" s="9">
        <f t="shared" si="3"/>
        <v>0</v>
      </c>
      <c r="G125" s="10"/>
      <c r="H125" s="10"/>
    </row>
    <row r="126" spans="1:8" x14ac:dyDescent="0.25">
      <c r="A126" s="22"/>
      <c r="B126" s="22">
        <v>17</v>
      </c>
      <c r="C126" s="22" t="s">
        <v>663</v>
      </c>
      <c r="D126" s="19"/>
      <c r="E126" s="10" t="s">
        <v>517</v>
      </c>
      <c r="F126" s="9">
        <f t="shared" si="3"/>
        <v>0</v>
      </c>
      <c r="G126" s="10"/>
      <c r="H126" s="10"/>
    </row>
    <row r="127" spans="1:8" x14ac:dyDescent="0.25">
      <c r="A127" s="22"/>
      <c r="B127" s="22">
        <v>17</v>
      </c>
      <c r="C127" s="22" t="s">
        <v>415</v>
      </c>
      <c r="D127" s="19"/>
      <c r="E127" s="10" t="s">
        <v>518</v>
      </c>
      <c r="F127" s="9">
        <f t="shared" si="3"/>
        <v>0</v>
      </c>
      <c r="G127" s="10"/>
      <c r="H127" s="10"/>
    </row>
    <row r="128" spans="1:8" x14ac:dyDescent="0.25">
      <c r="A128" s="22"/>
      <c r="B128" s="22">
        <v>17</v>
      </c>
      <c r="C128" s="22" t="s">
        <v>664</v>
      </c>
      <c r="D128" s="19"/>
      <c r="E128" s="10" t="s">
        <v>519</v>
      </c>
      <c r="F128" s="9">
        <f t="shared" si="3"/>
        <v>0</v>
      </c>
      <c r="G128" s="10"/>
      <c r="H128" s="10"/>
    </row>
    <row r="129" spans="1:8" x14ac:dyDescent="0.25">
      <c r="A129" s="22"/>
      <c r="B129" s="22">
        <v>17</v>
      </c>
      <c r="C129" s="22" t="s">
        <v>660</v>
      </c>
      <c r="D129" s="19"/>
      <c r="E129" s="10" t="s">
        <v>520</v>
      </c>
      <c r="F129" s="9">
        <f t="shared" si="3"/>
        <v>0</v>
      </c>
      <c r="G129" s="10"/>
      <c r="H129" s="10"/>
    </row>
    <row r="130" spans="1:8" ht="15.75" x14ac:dyDescent="0.25">
      <c r="A130" s="22"/>
      <c r="B130" s="22">
        <v>17</v>
      </c>
      <c r="C130" s="22" t="s">
        <v>416</v>
      </c>
      <c r="D130" s="19"/>
      <c r="E130" s="14" t="s">
        <v>521</v>
      </c>
      <c r="F130" s="9">
        <f t="shared" si="3"/>
        <v>0</v>
      </c>
      <c r="G130" s="10"/>
      <c r="H130" s="10"/>
    </row>
    <row r="131" spans="1:8" x14ac:dyDescent="0.25">
      <c r="A131" s="22"/>
      <c r="B131" s="22">
        <v>17</v>
      </c>
      <c r="C131" s="22" t="s">
        <v>654</v>
      </c>
      <c r="D131" s="19"/>
      <c r="E131" s="16" t="s">
        <v>522</v>
      </c>
      <c r="F131" s="9">
        <f t="shared" si="3"/>
        <v>0</v>
      </c>
      <c r="G131" s="10"/>
      <c r="H131" s="10"/>
    </row>
    <row r="132" spans="1:8" x14ac:dyDescent="0.25">
      <c r="A132" s="22"/>
      <c r="B132" s="22">
        <v>17</v>
      </c>
      <c r="C132" s="22" t="s">
        <v>657</v>
      </c>
      <c r="D132" s="19"/>
      <c r="E132" s="10" t="s">
        <v>523</v>
      </c>
      <c r="F132" s="9">
        <f t="shared" si="3"/>
        <v>0</v>
      </c>
      <c r="G132" s="10"/>
      <c r="H132" s="10"/>
    </row>
    <row r="133" spans="1:8" x14ac:dyDescent="0.25">
      <c r="A133" s="22"/>
      <c r="B133" s="22">
        <v>17</v>
      </c>
      <c r="C133" s="22"/>
      <c r="D133" s="19"/>
      <c r="E133" s="16" t="s">
        <v>526</v>
      </c>
      <c r="F133" s="9">
        <f t="shared" si="3"/>
        <v>0</v>
      </c>
      <c r="G133" s="10"/>
      <c r="H133" s="10"/>
    </row>
    <row r="134" spans="1:8" x14ac:dyDescent="0.25">
      <c r="A134" s="22"/>
      <c r="B134" s="22">
        <v>17</v>
      </c>
      <c r="C134" s="22"/>
      <c r="D134" s="19"/>
      <c r="E134" s="10" t="s">
        <v>527</v>
      </c>
      <c r="F134" s="9">
        <f t="shared" si="3"/>
        <v>0</v>
      </c>
      <c r="G134" s="10"/>
      <c r="H134" s="10"/>
    </row>
    <row r="135" spans="1:8" ht="15.75" x14ac:dyDescent="0.25">
      <c r="A135" s="22"/>
      <c r="B135" s="22">
        <v>17</v>
      </c>
      <c r="C135" s="22"/>
      <c r="D135" s="19"/>
      <c r="E135" s="14" t="s">
        <v>528</v>
      </c>
      <c r="F135" s="9">
        <f t="shared" si="3"/>
        <v>0</v>
      </c>
      <c r="G135" s="10"/>
      <c r="H135" s="10"/>
    </row>
    <row r="136" spans="1:8" x14ac:dyDescent="0.25">
      <c r="A136" s="22"/>
      <c r="B136" s="22">
        <v>17</v>
      </c>
      <c r="C136" s="22"/>
      <c r="D136" s="19"/>
      <c r="E136" s="16" t="s">
        <v>529</v>
      </c>
      <c r="F136" s="9">
        <f t="shared" si="3"/>
        <v>0</v>
      </c>
      <c r="G136" s="10"/>
      <c r="H136" s="10"/>
    </row>
    <row r="137" spans="1:8" x14ac:dyDescent="0.25">
      <c r="A137" s="22"/>
      <c r="B137" s="22">
        <v>17</v>
      </c>
      <c r="C137" s="22"/>
      <c r="D137" s="19"/>
      <c r="E137" s="10" t="s">
        <v>533</v>
      </c>
      <c r="F137" s="9">
        <f t="shared" si="3"/>
        <v>0</v>
      </c>
      <c r="G137" s="10"/>
      <c r="H137" s="10"/>
    </row>
    <row r="138" spans="1:8" x14ac:dyDescent="0.25">
      <c r="A138" s="22"/>
      <c r="B138" s="22">
        <v>17</v>
      </c>
      <c r="C138" s="22"/>
      <c r="D138" s="19"/>
      <c r="E138" s="10" t="s">
        <v>534</v>
      </c>
      <c r="F138" s="9">
        <f t="shared" si="3"/>
        <v>0</v>
      </c>
      <c r="G138" s="10"/>
      <c r="H138" s="10"/>
    </row>
    <row r="139" spans="1:8" x14ac:dyDescent="0.25">
      <c r="A139" s="22"/>
      <c r="B139" s="22">
        <v>17</v>
      </c>
      <c r="C139" s="22"/>
      <c r="D139" s="19"/>
      <c r="E139" s="16" t="s">
        <v>535</v>
      </c>
      <c r="F139" s="9">
        <f t="shared" si="3"/>
        <v>0</v>
      </c>
      <c r="G139" s="10"/>
      <c r="H139" s="10"/>
    </row>
    <row r="140" spans="1:8" x14ac:dyDescent="0.25">
      <c r="A140" s="22"/>
      <c r="B140" s="22">
        <v>17</v>
      </c>
      <c r="C140" s="22"/>
      <c r="D140" s="19"/>
      <c r="E140" s="10" t="s">
        <v>538</v>
      </c>
      <c r="F140" s="9">
        <f t="shared" si="3"/>
        <v>0</v>
      </c>
      <c r="G140" s="10"/>
      <c r="H140" s="10"/>
    </row>
    <row r="141" spans="1:8" x14ac:dyDescent="0.25">
      <c r="A141" s="22"/>
      <c r="B141" s="22">
        <v>17</v>
      </c>
      <c r="C141" s="22"/>
      <c r="D141" s="19"/>
      <c r="E141" s="16" t="s">
        <v>539</v>
      </c>
      <c r="F141" s="9">
        <f t="shared" si="3"/>
        <v>0</v>
      </c>
      <c r="G141" s="10"/>
      <c r="H141" s="10"/>
    </row>
    <row r="142" spans="1:8" x14ac:dyDescent="0.25">
      <c r="A142" s="22"/>
      <c r="B142" s="22">
        <v>17</v>
      </c>
      <c r="C142" s="22"/>
      <c r="D142" s="19"/>
      <c r="E142" s="10" t="s">
        <v>540</v>
      </c>
      <c r="F142" s="9">
        <f t="shared" si="3"/>
        <v>0</v>
      </c>
      <c r="G142" s="10"/>
      <c r="H142" s="10"/>
    </row>
    <row r="143" spans="1:8" x14ac:dyDescent="0.25">
      <c r="A143" s="22"/>
      <c r="B143" s="22">
        <v>17</v>
      </c>
      <c r="C143" s="22"/>
      <c r="D143" s="19"/>
      <c r="E143" s="10" t="s">
        <v>541</v>
      </c>
      <c r="F143" s="9">
        <f t="shared" si="3"/>
        <v>0</v>
      </c>
      <c r="G143" s="10"/>
      <c r="H143" s="10"/>
    </row>
    <row r="144" spans="1:8" x14ac:dyDescent="0.25">
      <c r="A144" s="22"/>
      <c r="B144" s="22">
        <v>17</v>
      </c>
      <c r="C144" s="22"/>
      <c r="D144" s="19"/>
      <c r="E144" s="10" t="s">
        <v>542</v>
      </c>
      <c r="F144" s="9">
        <f t="shared" si="3"/>
        <v>0</v>
      </c>
      <c r="G144" s="10"/>
      <c r="H144" s="10"/>
    </row>
    <row r="145" spans="1:8" x14ac:dyDescent="0.25">
      <c r="A145" s="22"/>
      <c r="B145" s="22">
        <v>17</v>
      </c>
      <c r="C145" s="22"/>
      <c r="D145" s="19"/>
      <c r="E145" s="10" t="s">
        <v>543</v>
      </c>
      <c r="F145" s="9">
        <f t="shared" si="3"/>
        <v>0</v>
      </c>
      <c r="G145" s="10"/>
      <c r="H145" s="10"/>
    </row>
    <row r="146" spans="1:8" x14ac:dyDescent="0.25">
      <c r="A146" s="22"/>
      <c r="B146" s="22">
        <v>17</v>
      </c>
      <c r="C146" s="22"/>
      <c r="D146" s="19"/>
      <c r="E146" s="10" t="s">
        <v>544</v>
      </c>
      <c r="F146" s="9">
        <f t="shared" si="3"/>
        <v>0</v>
      </c>
      <c r="G146" s="10"/>
      <c r="H146" s="10"/>
    </row>
    <row r="147" spans="1:8" x14ac:dyDescent="0.25">
      <c r="A147" s="22"/>
      <c r="B147" s="22">
        <v>17</v>
      </c>
      <c r="C147" s="22"/>
      <c r="D147" s="19"/>
      <c r="E147" s="16" t="s">
        <v>545</v>
      </c>
      <c r="F147" s="9">
        <f t="shared" si="3"/>
        <v>0</v>
      </c>
      <c r="G147" s="10"/>
      <c r="H147" s="10"/>
    </row>
    <row r="148" spans="1:8" x14ac:dyDescent="0.25">
      <c r="A148" s="22"/>
      <c r="B148" s="22">
        <v>17</v>
      </c>
      <c r="C148" s="22"/>
      <c r="D148" s="19"/>
      <c r="E148" s="10" t="s">
        <v>546</v>
      </c>
      <c r="F148" s="9">
        <f t="shared" si="3"/>
        <v>0</v>
      </c>
      <c r="G148" s="10"/>
      <c r="H148" s="10"/>
    </row>
    <row r="149" spans="1:8" x14ac:dyDescent="0.25">
      <c r="A149" s="22"/>
      <c r="B149" s="22">
        <v>17</v>
      </c>
      <c r="C149" s="22"/>
      <c r="D149" s="19"/>
      <c r="E149" s="10" t="s">
        <v>547</v>
      </c>
      <c r="F149" s="9">
        <f t="shared" si="3"/>
        <v>0</v>
      </c>
      <c r="G149" s="10"/>
      <c r="H149" s="10"/>
    </row>
    <row r="150" spans="1:8" x14ac:dyDescent="0.25">
      <c r="A150" s="22"/>
      <c r="B150" s="22">
        <v>17</v>
      </c>
      <c r="C150" s="22"/>
      <c r="D150" s="19"/>
      <c r="E150" s="10" t="s">
        <v>548</v>
      </c>
      <c r="F150" s="9">
        <f t="shared" si="3"/>
        <v>0</v>
      </c>
      <c r="G150" s="10"/>
      <c r="H150" s="10"/>
    </row>
    <row r="151" spans="1:8" x14ac:dyDescent="0.25">
      <c r="A151" s="22"/>
      <c r="B151" s="22">
        <v>17</v>
      </c>
      <c r="C151" s="22"/>
      <c r="D151" s="19"/>
      <c r="E151" s="16" t="s">
        <v>549</v>
      </c>
      <c r="F151" s="9">
        <f t="shared" si="3"/>
        <v>0</v>
      </c>
      <c r="G151" s="10"/>
      <c r="H151" s="10"/>
    </row>
    <row r="152" spans="1:8" x14ac:dyDescent="0.25">
      <c r="A152" s="22"/>
      <c r="B152" s="22">
        <v>17</v>
      </c>
      <c r="C152" s="22"/>
      <c r="D152" s="19"/>
      <c r="E152" s="10" t="s">
        <v>550</v>
      </c>
      <c r="F152" s="9">
        <f t="shared" si="3"/>
        <v>0</v>
      </c>
      <c r="G152" s="10"/>
      <c r="H152" s="10"/>
    </row>
    <row r="153" spans="1:8" x14ac:dyDescent="0.25">
      <c r="A153" s="22"/>
      <c r="B153" s="22">
        <v>17</v>
      </c>
      <c r="C153" s="22"/>
      <c r="D153" s="19"/>
      <c r="E153" s="10" t="s">
        <v>551</v>
      </c>
      <c r="F153" s="9">
        <f t="shared" si="3"/>
        <v>0</v>
      </c>
      <c r="G153" s="10"/>
      <c r="H153" s="10"/>
    </row>
    <row r="154" spans="1:8" x14ac:dyDescent="0.25">
      <c r="A154" s="22"/>
      <c r="B154" s="22">
        <v>17</v>
      </c>
      <c r="C154" s="22"/>
      <c r="D154" s="19"/>
      <c r="E154" s="10" t="s">
        <v>552</v>
      </c>
      <c r="F154" s="9">
        <f t="shared" si="3"/>
        <v>0</v>
      </c>
      <c r="G154" s="10"/>
      <c r="H154" s="10"/>
    </row>
    <row r="155" spans="1:8" x14ac:dyDescent="0.25">
      <c r="A155" s="22"/>
      <c r="B155" s="22">
        <v>17</v>
      </c>
      <c r="C155" s="22"/>
      <c r="D155" s="19"/>
      <c r="E155" s="10" t="s">
        <v>553</v>
      </c>
      <c r="F155" s="9">
        <f t="shared" si="3"/>
        <v>0</v>
      </c>
      <c r="G155" s="10"/>
      <c r="H155" s="10"/>
    </row>
    <row r="156" spans="1:8" x14ac:dyDescent="0.25">
      <c r="A156" s="22"/>
      <c r="B156" s="22">
        <v>17</v>
      </c>
      <c r="C156" s="22"/>
      <c r="D156" s="19"/>
      <c r="E156" s="16" t="s">
        <v>554</v>
      </c>
      <c r="F156" s="9">
        <f t="shared" si="3"/>
        <v>0</v>
      </c>
      <c r="G156" s="10"/>
      <c r="H156" s="10"/>
    </row>
    <row r="157" spans="1:8" x14ac:dyDescent="0.25">
      <c r="A157" s="22"/>
      <c r="B157" s="22">
        <v>17</v>
      </c>
      <c r="C157" s="22"/>
      <c r="D157" s="19"/>
      <c r="E157" s="10" t="s">
        <v>555</v>
      </c>
      <c r="F157" s="9">
        <f t="shared" si="3"/>
        <v>0</v>
      </c>
      <c r="G157" s="10"/>
      <c r="H157" s="10"/>
    </row>
    <row r="158" spans="1:8" ht="15.75" x14ac:dyDescent="0.25">
      <c r="A158" s="22"/>
      <c r="B158" s="22">
        <v>17</v>
      </c>
      <c r="C158" s="22"/>
      <c r="D158" s="19"/>
      <c r="E158" s="14" t="s">
        <v>556</v>
      </c>
      <c r="F158" s="9">
        <f t="shared" si="3"/>
        <v>0</v>
      </c>
      <c r="G158" s="10"/>
      <c r="H158" s="10"/>
    </row>
    <row r="159" spans="1:8" x14ac:dyDescent="0.25">
      <c r="A159" s="22"/>
      <c r="B159" s="22">
        <v>17</v>
      </c>
      <c r="C159" s="22"/>
      <c r="D159" s="19"/>
      <c r="E159" s="16" t="s">
        <v>557</v>
      </c>
      <c r="F159" s="9">
        <f t="shared" si="3"/>
        <v>0</v>
      </c>
      <c r="G159" s="10"/>
      <c r="H159" s="10"/>
    </row>
    <row r="160" spans="1:8" x14ac:dyDescent="0.25">
      <c r="A160" s="22"/>
      <c r="B160" s="22">
        <v>17</v>
      </c>
      <c r="C160" s="22"/>
      <c r="D160" s="19"/>
      <c r="E160" s="10" t="s">
        <v>558</v>
      </c>
      <c r="F160" s="9">
        <f t="shared" si="3"/>
        <v>0</v>
      </c>
      <c r="G160" s="10"/>
      <c r="H160" s="10"/>
    </row>
    <row r="161" spans="1:8" x14ac:dyDescent="0.25">
      <c r="A161" s="22"/>
      <c r="B161" s="22">
        <v>17</v>
      </c>
      <c r="C161" s="22"/>
      <c r="D161" s="19"/>
      <c r="E161" s="16" t="s">
        <v>559</v>
      </c>
      <c r="F161" s="9">
        <f t="shared" si="3"/>
        <v>0</v>
      </c>
      <c r="G161" s="10"/>
      <c r="H161" s="10"/>
    </row>
    <row r="162" spans="1:8" x14ac:dyDescent="0.25">
      <c r="A162" s="22"/>
      <c r="B162" s="22">
        <v>17</v>
      </c>
      <c r="C162" s="22"/>
      <c r="D162" s="19"/>
      <c r="E162" s="10" t="s">
        <v>560</v>
      </c>
      <c r="F162" s="9">
        <f t="shared" si="3"/>
        <v>0</v>
      </c>
      <c r="G162" s="10"/>
      <c r="H162" s="10"/>
    </row>
    <row r="163" spans="1:8" x14ac:dyDescent="0.25">
      <c r="A163" s="22"/>
      <c r="B163" s="22">
        <v>17</v>
      </c>
      <c r="C163" s="22"/>
      <c r="D163" s="19"/>
      <c r="E163" s="16" t="s">
        <v>561</v>
      </c>
      <c r="F163" s="9">
        <f t="shared" si="3"/>
        <v>0</v>
      </c>
      <c r="G163" s="10"/>
      <c r="H163" s="10"/>
    </row>
    <row r="164" spans="1:8" x14ac:dyDescent="0.25">
      <c r="A164" s="22"/>
      <c r="B164" s="22">
        <v>17</v>
      </c>
      <c r="C164" s="22"/>
      <c r="D164" s="19"/>
      <c r="E164" s="10" t="s">
        <v>562</v>
      </c>
      <c r="F164" s="9">
        <f t="shared" si="3"/>
        <v>0</v>
      </c>
      <c r="G164" s="10"/>
      <c r="H164" s="10"/>
    </row>
    <row r="165" spans="1:8" x14ac:dyDescent="0.25">
      <c r="A165" s="22"/>
      <c r="B165" s="22">
        <v>17</v>
      </c>
      <c r="C165" s="22"/>
      <c r="D165" s="19"/>
      <c r="E165" s="16" t="s">
        <v>563</v>
      </c>
      <c r="F165" s="9">
        <f t="shared" si="3"/>
        <v>0</v>
      </c>
      <c r="G165" s="10"/>
      <c r="H165" s="10"/>
    </row>
    <row r="166" spans="1:8" x14ac:dyDescent="0.25">
      <c r="A166" s="22"/>
      <c r="B166" s="22">
        <v>17</v>
      </c>
      <c r="C166" s="22"/>
      <c r="D166" s="19"/>
      <c r="E166" s="10" t="s">
        <v>564</v>
      </c>
      <c r="F166" s="9">
        <f t="shared" si="3"/>
        <v>0</v>
      </c>
      <c r="G166" s="10"/>
      <c r="H166" s="10"/>
    </row>
    <row r="167" spans="1:8" x14ac:dyDescent="0.25">
      <c r="A167" s="22"/>
      <c r="B167" s="22">
        <v>17</v>
      </c>
      <c r="C167" s="22"/>
      <c r="D167" s="19"/>
      <c r="E167" s="16" t="s">
        <v>565</v>
      </c>
      <c r="F167" s="9">
        <f t="shared" si="3"/>
        <v>0</v>
      </c>
      <c r="G167" s="10"/>
      <c r="H167" s="10"/>
    </row>
    <row r="168" spans="1:8" x14ac:dyDescent="0.25">
      <c r="A168" s="22"/>
      <c r="B168" s="22">
        <v>17</v>
      </c>
      <c r="C168" s="22"/>
      <c r="D168" s="19"/>
      <c r="E168" s="10" t="s">
        <v>566</v>
      </c>
      <c r="F168" s="9">
        <f t="shared" si="3"/>
        <v>0</v>
      </c>
      <c r="G168" s="10"/>
      <c r="H168" s="10"/>
    </row>
    <row r="169" spans="1:8" ht="15.75" x14ac:dyDescent="0.25">
      <c r="A169" s="22"/>
      <c r="B169" s="22">
        <v>17</v>
      </c>
      <c r="C169" s="22"/>
      <c r="D169" s="19"/>
      <c r="E169" s="14" t="s">
        <v>573</v>
      </c>
      <c r="F169" s="9">
        <f t="shared" si="3"/>
        <v>0</v>
      </c>
      <c r="G169" s="10"/>
      <c r="H169" s="10"/>
    </row>
    <row r="170" spans="1:8" x14ac:dyDescent="0.25">
      <c r="A170" s="22"/>
      <c r="B170" s="22">
        <v>17</v>
      </c>
      <c r="C170" s="22"/>
      <c r="D170" s="19"/>
      <c r="E170" s="16" t="s">
        <v>574</v>
      </c>
      <c r="F170" s="9">
        <f t="shared" si="3"/>
        <v>0</v>
      </c>
      <c r="G170" s="10"/>
      <c r="H170" s="10"/>
    </row>
    <row r="171" spans="1:8" x14ac:dyDescent="0.25">
      <c r="A171" s="22"/>
      <c r="B171" s="22">
        <v>17</v>
      </c>
      <c r="C171" s="22"/>
      <c r="D171" s="19"/>
      <c r="E171" s="10" t="s">
        <v>575</v>
      </c>
      <c r="F171" s="9">
        <f t="shared" si="3"/>
        <v>0</v>
      </c>
      <c r="G171" s="10"/>
      <c r="H171" s="10"/>
    </row>
    <row r="172" spans="1:8" x14ac:dyDescent="0.25">
      <c r="A172" s="22"/>
      <c r="B172" s="22">
        <v>17</v>
      </c>
      <c r="C172" s="22"/>
      <c r="D172" s="19"/>
      <c r="E172" s="10" t="s">
        <v>576</v>
      </c>
      <c r="F172" s="9">
        <f t="shared" ref="F172:F210" si="4">IF(E172="(Fill)",1,0)</f>
        <v>0</v>
      </c>
      <c r="G172" s="10"/>
      <c r="H172" s="10"/>
    </row>
    <row r="173" spans="1:8" x14ac:dyDescent="0.25">
      <c r="A173" s="22"/>
      <c r="B173" s="22">
        <v>17</v>
      </c>
      <c r="C173" s="22"/>
      <c r="D173" s="19"/>
      <c r="E173" s="10" t="s">
        <v>577</v>
      </c>
      <c r="F173" s="9">
        <f t="shared" si="4"/>
        <v>0</v>
      </c>
      <c r="G173" s="10"/>
      <c r="H173" s="10"/>
    </row>
    <row r="174" spans="1:8" x14ac:dyDescent="0.25">
      <c r="A174" s="22"/>
      <c r="B174" s="22">
        <v>17</v>
      </c>
      <c r="C174" s="22"/>
      <c r="D174" s="19"/>
      <c r="E174" s="16" t="s">
        <v>578</v>
      </c>
      <c r="F174" s="9">
        <f t="shared" si="4"/>
        <v>0</v>
      </c>
      <c r="G174" s="10"/>
      <c r="H174" s="10"/>
    </row>
    <row r="175" spans="1:8" x14ac:dyDescent="0.25">
      <c r="A175" s="22"/>
      <c r="B175" s="22">
        <v>17</v>
      </c>
      <c r="C175" s="22"/>
      <c r="D175" s="19"/>
      <c r="E175" s="10" t="s">
        <v>579</v>
      </c>
      <c r="F175" s="9">
        <f t="shared" si="4"/>
        <v>0</v>
      </c>
      <c r="G175" s="10"/>
      <c r="H175" s="10"/>
    </row>
    <row r="176" spans="1:8" x14ac:dyDescent="0.25">
      <c r="A176" s="22"/>
      <c r="B176" s="22">
        <v>17</v>
      </c>
      <c r="C176" s="22"/>
      <c r="D176" s="19"/>
      <c r="E176" s="16" t="s">
        <v>580</v>
      </c>
      <c r="F176" s="9">
        <f t="shared" si="4"/>
        <v>0</v>
      </c>
      <c r="G176" s="10"/>
      <c r="H176" s="10"/>
    </row>
    <row r="177" spans="1:8" x14ac:dyDescent="0.25">
      <c r="A177" s="22"/>
      <c r="B177" s="22">
        <v>17</v>
      </c>
      <c r="C177" s="22"/>
      <c r="D177" s="19"/>
      <c r="E177" s="10" t="s">
        <v>582</v>
      </c>
      <c r="F177" s="9">
        <f t="shared" si="4"/>
        <v>0</v>
      </c>
      <c r="G177" s="10"/>
      <c r="H177" s="10"/>
    </row>
    <row r="178" spans="1:8" x14ac:dyDescent="0.25">
      <c r="A178" s="22"/>
      <c r="B178" s="22">
        <v>17</v>
      </c>
      <c r="C178" s="22"/>
      <c r="D178" s="19"/>
      <c r="E178" s="16" t="s">
        <v>583</v>
      </c>
      <c r="F178" s="9">
        <f t="shared" si="4"/>
        <v>0</v>
      </c>
      <c r="G178" s="10"/>
      <c r="H178" s="10"/>
    </row>
    <row r="179" spans="1:8" x14ac:dyDescent="0.25">
      <c r="A179" s="22"/>
      <c r="B179" s="22">
        <v>17</v>
      </c>
      <c r="C179" s="22"/>
      <c r="D179" s="19"/>
      <c r="E179" s="10" t="s">
        <v>584</v>
      </c>
      <c r="F179" s="9">
        <f t="shared" si="4"/>
        <v>0</v>
      </c>
      <c r="G179" s="10"/>
      <c r="H179" s="10"/>
    </row>
    <row r="180" spans="1:8" x14ac:dyDescent="0.25">
      <c r="A180" s="22"/>
      <c r="B180" s="22">
        <v>17</v>
      </c>
      <c r="C180" s="22"/>
      <c r="D180" s="19"/>
      <c r="E180" s="16" t="s">
        <v>585</v>
      </c>
      <c r="F180" s="9">
        <f t="shared" si="4"/>
        <v>0</v>
      </c>
      <c r="G180" s="10"/>
      <c r="H180" s="10"/>
    </row>
    <row r="181" spans="1:8" x14ac:dyDescent="0.25">
      <c r="A181" s="22"/>
      <c r="B181" s="22">
        <v>17</v>
      </c>
      <c r="C181" s="22"/>
      <c r="D181" s="19"/>
      <c r="E181" s="10" t="s">
        <v>586</v>
      </c>
      <c r="F181" s="9">
        <f t="shared" si="4"/>
        <v>0</v>
      </c>
      <c r="G181" s="10"/>
      <c r="H181" s="10"/>
    </row>
    <row r="182" spans="1:8" x14ac:dyDescent="0.25">
      <c r="A182" s="22"/>
      <c r="B182" s="22">
        <v>17</v>
      </c>
      <c r="C182" s="22"/>
      <c r="D182" s="19"/>
      <c r="E182" s="10" t="s">
        <v>587</v>
      </c>
      <c r="F182" s="9">
        <f t="shared" si="4"/>
        <v>0</v>
      </c>
      <c r="G182" s="10"/>
      <c r="H182" s="10"/>
    </row>
    <row r="183" spans="1:8" x14ac:dyDescent="0.25">
      <c r="A183" s="22"/>
      <c r="B183" s="22">
        <v>17</v>
      </c>
      <c r="C183" s="22"/>
      <c r="D183" s="19"/>
      <c r="E183" s="10" t="s">
        <v>588</v>
      </c>
      <c r="F183" s="9">
        <f t="shared" si="4"/>
        <v>0</v>
      </c>
      <c r="G183" s="10"/>
      <c r="H183" s="10"/>
    </row>
    <row r="184" spans="1:8" x14ac:dyDescent="0.25">
      <c r="A184" s="22"/>
      <c r="B184" s="22">
        <v>17</v>
      </c>
      <c r="C184" s="22"/>
      <c r="D184" s="19"/>
      <c r="E184" s="10" t="s">
        <v>589</v>
      </c>
      <c r="F184" s="9">
        <f t="shared" si="4"/>
        <v>0</v>
      </c>
      <c r="G184" s="10"/>
      <c r="H184" s="10"/>
    </row>
    <row r="185" spans="1:8" x14ac:dyDescent="0.25">
      <c r="A185" s="22"/>
      <c r="B185" s="22">
        <v>17</v>
      </c>
      <c r="C185" s="22"/>
      <c r="D185" s="19"/>
      <c r="E185" s="10" t="s">
        <v>590</v>
      </c>
      <c r="F185" s="9">
        <f t="shared" si="4"/>
        <v>0</v>
      </c>
      <c r="G185" s="10"/>
      <c r="H185" s="10"/>
    </row>
    <row r="186" spans="1:8" x14ac:dyDescent="0.25">
      <c r="A186" s="22"/>
      <c r="B186" s="22">
        <v>17</v>
      </c>
      <c r="C186" s="22"/>
      <c r="D186" s="19"/>
      <c r="E186" s="16" t="s">
        <v>591</v>
      </c>
      <c r="F186" s="9">
        <f t="shared" si="4"/>
        <v>0</v>
      </c>
      <c r="G186" s="10"/>
      <c r="H186" s="10"/>
    </row>
    <row r="187" spans="1:8" x14ac:dyDescent="0.25">
      <c r="A187" s="22"/>
      <c r="B187" s="22">
        <v>17</v>
      </c>
      <c r="C187" s="22"/>
      <c r="D187" s="19"/>
      <c r="E187" s="10" t="s">
        <v>592</v>
      </c>
      <c r="F187" s="9">
        <f t="shared" si="4"/>
        <v>0</v>
      </c>
      <c r="G187" s="10"/>
      <c r="H187" s="10"/>
    </row>
    <row r="188" spans="1:8" x14ac:dyDescent="0.25">
      <c r="A188" s="22"/>
      <c r="B188" s="22">
        <v>17</v>
      </c>
      <c r="C188" s="22"/>
      <c r="D188" s="19"/>
      <c r="E188" s="10" t="s">
        <v>593</v>
      </c>
      <c r="F188" s="9">
        <f t="shared" si="4"/>
        <v>0</v>
      </c>
      <c r="G188" s="10"/>
      <c r="H188" s="10"/>
    </row>
    <row r="189" spans="1:8" x14ac:dyDescent="0.25">
      <c r="A189" s="22"/>
      <c r="B189" s="22">
        <v>17</v>
      </c>
      <c r="C189" s="22"/>
      <c r="D189" s="19"/>
      <c r="E189" s="16" t="s">
        <v>594</v>
      </c>
      <c r="F189" s="9">
        <f t="shared" si="4"/>
        <v>0</v>
      </c>
      <c r="G189" s="10"/>
      <c r="H189" s="10"/>
    </row>
    <row r="190" spans="1:8" x14ac:dyDescent="0.25">
      <c r="A190" s="23"/>
      <c r="B190" s="22">
        <v>17</v>
      </c>
      <c r="C190" s="23"/>
      <c r="D190" s="20"/>
      <c r="E190" s="10" t="s">
        <v>595</v>
      </c>
      <c r="F190" s="9">
        <f t="shared" si="4"/>
        <v>0</v>
      </c>
      <c r="G190" s="10"/>
      <c r="H190" s="10"/>
    </row>
    <row r="191" spans="1:8" x14ac:dyDescent="0.25">
      <c r="A191" s="18" t="s">
        <v>35</v>
      </c>
      <c r="B191" s="24"/>
      <c r="C191" s="24"/>
      <c r="D191" s="83" t="s">
        <v>675</v>
      </c>
      <c r="E191" s="8" t="s">
        <v>25</v>
      </c>
      <c r="F191" s="9">
        <f t="shared" si="4"/>
        <v>0</v>
      </c>
      <c r="G191" s="10"/>
      <c r="H191" s="10"/>
    </row>
    <row r="192" spans="1:8" x14ac:dyDescent="0.25">
      <c r="A192" s="19"/>
      <c r="B192" s="24"/>
      <c r="C192" s="24"/>
      <c r="D192" s="83"/>
      <c r="E192" s="8" t="s">
        <v>26</v>
      </c>
      <c r="F192" s="9">
        <f t="shared" si="4"/>
        <v>0</v>
      </c>
      <c r="G192" s="10"/>
      <c r="H192" s="10"/>
    </row>
    <row r="193" spans="1:8" x14ac:dyDescent="0.25">
      <c r="A193" s="19"/>
      <c r="B193" s="24"/>
      <c r="C193" s="24"/>
      <c r="D193" s="24" t="s">
        <v>676</v>
      </c>
      <c r="E193" s="8" t="s">
        <v>13</v>
      </c>
      <c r="F193" s="9">
        <f t="shared" si="4"/>
        <v>1</v>
      </c>
      <c r="G193" s="10"/>
      <c r="H193" s="10"/>
    </row>
    <row r="194" spans="1:8" x14ac:dyDescent="0.25">
      <c r="A194" s="22"/>
      <c r="B194" s="22">
        <v>16</v>
      </c>
      <c r="C194" s="22" t="s">
        <v>416</v>
      </c>
      <c r="D194" s="83" t="s">
        <v>679</v>
      </c>
      <c r="E194" s="8" t="s">
        <v>39</v>
      </c>
      <c r="F194" s="9">
        <f t="shared" si="4"/>
        <v>0</v>
      </c>
      <c r="G194" s="9"/>
      <c r="H194" s="10"/>
    </row>
    <row r="195" spans="1:8" x14ac:dyDescent="0.25">
      <c r="A195" s="22"/>
      <c r="B195" s="22">
        <v>16</v>
      </c>
      <c r="C195" s="22" t="s">
        <v>654</v>
      </c>
      <c r="D195" s="83"/>
      <c r="E195" s="8" t="s">
        <v>46</v>
      </c>
      <c r="F195" s="9">
        <f t="shared" si="4"/>
        <v>0</v>
      </c>
      <c r="G195" s="9"/>
      <c r="H195" s="10"/>
    </row>
    <row r="196" spans="1:8" x14ac:dyDescent="0.25">
      <c r="A196" s="22"/>
      <c r="B196" s="22">
        <v>17</v>
      </c>
      <c r="C196" s="22" t="s">
        <v>654</v>
      </c>
      <c r="D196" s="24" t="s">
        <v>681</v>
      </c>
      <c r="E196" s="8" t="s">
        <v>13</v>
      </c>
      <c r="F196" s="9">
        <f t="shared" si="4"/>
        <v>1</v>
      </c>
      <c r="G196" s="9"/>
      <c r="H196" s="10"/>
    </row>
    <row r="197" spans="1:8" ht="15.75" x14ac:dyDescent="0.25">
      <c r="A197" s="19"/>
      <c r="B197" s="22"/>
      <c r="C197" s="22"/>
      <c r="D197" s="18" t="s">
        <v>419</v>
      </c>
      <c r="E197" s="14" t="s">
        <v>503</v>
      </c>
      <c r="F197" s="9">
        <f t="shared" si="4"/>
        <v>0</v>
      </c>
      <c r="G197" s="10"/>
      <c r="H197" s="10"/>
    </row>
    <row r="198" spans="1:8" x14ac:dyDescent="0.25">
      <c r="A198" s="19"/>
      <c r="B198" s="22"/>
      <c r="C198" s="22"/>
      <c r="D198" s="19"/>
      <c r="E198" s="16" t="s">
        <v>504</v>
      </c>
      <c r="F198" s="9">
        <f t="shared" si="4"/>
        <v>0</v>
      </c>
      <c r="G198" s="10"/>
      <c r="H198" s="10"/>
    </row>
    <row r="199" spans="1:8" x14ac:dyDescent="0.25">
      <c r="A199" s="19"/>
      <c r="B199" s="22"/>
      <c r="C199" s="22"/>
      <c r="D199" s="19"/>
      <c r="E199" s="10" t="s">
        <v>505</v>
      </c>
      <c r="F199" s="9">
        <f t="shared" si="4"/>
        <v>0</v>
      </c>
      <c r="G199" s="10"/>
      <c r="H199" s="10"/>
    </row>
    <row r="200" spans="1:8" x14ac:dyDescent="0.25">
      <c r="A200" s="19"/>
      <c r="B200" s="22"/>
      <c r="C200" s="22"/>
      <c r="D200" s="19"/>
      <c r="E200" s="10" t="s">
        <v>506</v>
      </c>
      <c r="F200" s="9">
        <f t="shared" si="4"/>
        <v>0</v>
      </c>
      <c r="G200" s="10"/>
      <c r="H200" s="10"/>
    </row>
    <row r="201" spans="1:8" x14ac:dyDescent="0.25">
      <c r="A201" s="22"/>
      <c r="B201" s="22"/>
      <c r="C201" s="22"/>
      <c r="D201" s="19"/>
      <c r="E201" s="10" t="s">
        <v>507</v>
      </c>
      <c r="F201" s="9">
        <f t="shared" si="4"/>
        <v>0</v>
      </c>
      <c r="G201" s="10"/>
      <c r="H201" s="10"/>
    </row>
    <row r="202" spans="1:8" x14ac:dyDescent="0.25">
      <c r="A202" s="22"/>
      <c r="B202" s="22"/>
      <c r="C202" s="22"/>
      <c r="D202" s="19"/>
      <c r="E202" s="10" t="s">
        <v>508</v>
      </c>
      <c r="F202" s="9">
        <f t="shared" si="4"/>
        <v>0</v>
      </c>
      <c r="G202" s="10"/>
      <c r="H202" s="10"/>
    </row>
    <row r="203" spans="1:8" ht="15.75" x14ac:dyDescent="0.25">
      <c r="A203" s="22"/>
      <c r="B203" s="22"/>
      <c r="C203" s="22"/>
      <c r="D203" s="19"/>
      <c r="E203" s="14" t="s">
        <v>473</v>
      </c>
      <c r="F203" s="9">
        <f t="shared" si="4"/>
        <v>0</v>
      </c>
      <c r="G203" s="10"/>
      <c r="H203" s="10"/>
    </row>
    <row r="204" spans="1:8" x14ac:dyDescent="0.25">
      <c r="A204" s="22"/>
      <c r="B204" s="22"/>
      <c r="C204" s="22"/>
      <c r="D204" s="19"/>
      <c r="E204" s="16" t="s">
        <v>474</v>
      </c>
      <c r="F204" s="9">
        <f t="shared" si="4"/>
        <v>0</v>
      </c>
      <c r="G204" s="10"/>
      <c r="H204" s="10"/>
    </row>
    <row r="205" spans="1:8" x14ac:dyDescent="0.25">
      <c r="A205" s="22"/>
      <c r="B205" s="22"/>
      <c r="C205" s="22"/>
      <c r="D205" s="19"/>
      <c r="E205" s="10" t="s">
        <v>475</v>
      </c>
      <c r="F205" s="9">
        <f t="shared" si="4"/>
        <v>0</v>
      </c>
      <c r="G205" s="10"/>
      <c r="H205" s="10"/>
    </row>
    <row r="206" spans="1:8" x14ac:dyDescent="0.25">
      <c r="A206" s="22"/>
      <c r="B206" s="22"/>
      <c r="C206" s="22"/>
      <c r="D206" s="19"/>
      <c r="E206" s="10" t="s">
        <v>476</v>
      </c>
      <c r="F206" s="9">
        <f t="shared" si="4"/>
        <v>0</v>
      </c>
      <c r="G206" s="10"/>
      <c r="H206" s="10"/>
    </row>
    <row r="207" spans="1:8" x14ac:dyDescent="0.25">
      <c r="A207" s="22"/>
      <c r="B207" s="22"/>
      <c r="C207" s="22"/>
      <c r="D207" s="19"/>
      <c r="E207" s="16" t="s">
        <v>480</v>
      </c>
      <c r="F207" s="9">
        <f t="shared" si="4"/>
        <v>0</v>
      </c>
      <c r="G207" s="10"/>
      <c r="H207" s="10"/>
    </row>
    <row r="208" spans="1:8" x14ac:dyDescent="0.25">
      <c r="A208" s="22"/>
      <c r="B208" s="22"/>
      <c r="C208" s="22"/>
      <c r="D208" s="19"/>
      <c r="E208" s="10" t="s">
        <v>481</v>
      </c>
      <c r="F208" s="9">
        <f t="shared" si="4"/>
        <v>0</v>
      </c>
      <c r="G208" s="10"/>
      <c r="H208" s="10"/>
    </row>
    <row r="209" spans="1:8" x14ac:dyDescent="0.25">
      <c r="A209" s="22"/>
      <c r="B209" s="22"/>
      <c r="C209" s="22"/>
      <c r="D209" s="19"/>
      <c r="E209" s="16" t="s">
        <v>486</v>
      </c>
      <c r="F209" s="9">
        <f t="shared" si="4"/>
        <v>0</v>
      </c>
      <c r="G209" s="10"/>
      <c r="H209" s="10"/>
    </row>
    <row r="210" spans="1:8" x14ac:dyDescent="0.25">
      <c r="A210" s="22"/>
      <c r="B210" s="22"/>
      <c r="C210" s="22"/>
      <c r="D210" s="19"/>
      <c r="E210" s="10" t="s">
        <v>487</v>
      </c>
      <c r="F210" s="9">
        <f t="shared" si="4"/>
        <v>0</v>
      </c>
      <c r="G210" s="10"/>
      <c r="H210" s="10"/>
    </row>
    <row r="211" spans="1:8" ht="15.75" x14ac:dyDescent="0.25">
      <c r="A211" s="22"/>
      <c r="B211" s="22"/>
      <c r="C211" s="22"/>
      <c r="D211" s="19"/>
      <c r="E211" s="14" t="s">
        <v>492</v>
      </c>
      <c r="F211" s="9"/>
      <c r="G211" s="10"/>
      <c r="H211" s="10"/>
    </row>
    <row r="212" spans="1:8" x14ac:dyDescent="0.25">
      <c r="A212" s="22"/>
      <c r="B212" s="22">
        <v>17</v>
      </c>
      <c r="C212" s="22" t="s">
        <v>661</v>
      </c>
      <c r="D212" s="19"/>
      <c r="E212" s="16" t="s">
        <v>493</v>
      </c>
      <c r="F212" s="9">
        <f t="shared" ref="F212" si="5">IF(E212="(Fill)",1,0)</f>
        <v>0</v>
      </c>
      <c r="G212" s="10"/>
      <c r="H212" s="10"/>
    </row>
    <row r="213" spans="1:8" x14ac:dyDescent="0.25">
      <c r="A213" s="22"/>
      <c r="B213" s="22">
        <v>17</v>
      </c>
      <c r="C213" s="22" t="s">
        <v>414</v>
      </c>
      <c r="D213" s="19"/>
      <c r="E213" s="10" t="s">
        <v>496</v>
      </c>
      <c r="F213" s="9">
        <f>IF(E213="(Fill)",1,0)</f>
        <v>0</v>
      </c>
      <c r="G213" s="10"/>
      <c r="H213" s="10"/>
    </row>
    <row r="214" spans="1:8" ht="15.75" x14ac:dyDescent="0.25">
      <c r="A214" s="22"/>
      <c r="B214" s="22"/>
      <c r="C214" s="22"/>
      <c r="D214" s="19"/>
      <c r="E214" s="14" t="s">
        <v>521</v>
      </c>
      <c r="F214" s="9"/>
      <c r="G214" s="10"/>
      <c r="H214" s="10"/>
    </row>
    <row r="215" spans="1:8" x14ac:dyDescent="0.25">
      <c r="A215" s="22"/>
      <c r="B215" s="22"/>
      <c r="C215" s="22"/>
      <c r="D215" s="19"/>
      <c r="E215" s="16" t="s">
        <v>524</v>
      </c>
      <c r="F215" s="9"/>
      <c r="G215" s="10"/>
      <c r="H215" s="10"/>
    </row>
    <row r="216" spans="1:8" x14ac:dyDescent="0.25">
      <c r="A216" s="22"/>
      <c r="B216" s="22"/>
      <c r="C216" s="22"/>
      <c r="D216" s="19"/>
      <c r="E216" s="10" t="s">
        <v>525</v>
      </c>
      <c r="F216" s="9"/>
      <c r="G216" s="10"/>
      <c r="H216" s="10"/>
    </row>
    <row r="217" spans="1:8" ht="15.75" x14ac:dyDescent="0.25">
      <c r="A217" s="22"/>
      <c r="B217" s="22">
        <v>17</v>
      </c>
      <c r="C217" s="22"/>
      <c r="D217" s="19"/>
      <c r="E217" s="14" t="s">
        <v>528</v>
      </c>
      <c r="F217" s="9">
        <f t="shared" ref="F217:F254" si="6">IF(E217="(Fill)",1,0)</f>
        <v>0</v>
      </c>
      <c r="G217" s="10"/>
      <c r="H217" s="10"/>
    </row>
    <row r="218" spans="1:8" x14ac:dyDescent="0.25">
      <c r="A218" s="22"/>
      <c r="B218" s="22">
        <v>17</v>
      </c>
      <c r="C218" s="22"/>
      <c r="D218" s="19"/>
      <c r="E218" s="16" t="s">
        <v>529</v>
      </c>
      <c r="F218" s="9">
        <f t="shared" si="6"/>
        <v>0</v>
      </c>
      <c r="G218" s="10"/>
      <c r="H218" s="10"/>
    </row>
    <row r="219" spans="1:8" x14ac:dyDescent="0.25">
      <c r="A219" s="22"/>
      <c r="B219" s="22">
        <v>17</v>
      </c>
      <c r="C219" s="22"/>
      <c r="D219" s="19"/>
      <c r="E219" s="10" t="s">
        <v>530</v>
      </c>
      <c r="F219" s="9">
        <f t="shared" si="6"/>
        <v>0</v>
      </c>
      <c r="G219" s="10"/>
      <c r="H219" s="10"/>
    </row>
    <row r="220" spans="1:8" x14ac:dyDescent="0.25">
      <c r="A220" s="22"/>
      <c r="B220" s="22">
        <v>17</v>
      </c>
      <c r="C220" s="22"/>
      <c r="D220" s="19"/>
      <c r="E220" s="10" t="s">
        <v>531</v>
      </c>
      <c r="F220" s="9">
        <f t="shared" si="6"/>
        <v>0</v>
      </c>
      <c r="G220" s="10"/>
      <c r="H220" s="10"/>
    </row>
    <row r="221" spans="1:8" x14ac:dyDescent="0.25">
      <c r="A221" s="22"/>
      <c r="B221" s="22">
        <v>17</v>
      </c>
      <c r="C221" s="22"/>
      <c r="D221" s="19"/>
      <c r="E221" s="10" t="s">
        <v>532</v>
      </c>
      <c r="F221" s="9">
        <f t="shared" si="6"/>
        <v>0</v>
      </c>
      <c r="G221" s="10"/>
      <c r="H221" s="10"/>
    </row>
    <row r="222" spans="1:8" x14ac:dyDescent="0.25">
      <c r="A222" s="22"/>
      <c r="B222" s="22">
        <v>17</v>
      </c>
      <c r="C222" s="22"/>
      <c r="D222" s="19"/>
      <c r="E222" s="16" t="s">
        <v>535</v>
      </c>
      <c r="F222" s="9">
        <f t="shared" si="6"/>
        <v>0</v>
      </c>
      <c r="G222" s="10"/>
      <c r="H222" s="10"/>
    </row>
    <row r="223" spans="1:8" x14ac:dyDescent="0.25">
      <c r="A223" s="22"/>
      <c r="B223" s="22">
        <v>17</v>
      </c>
      <c r="C223" s="22"/>
      <c r="D223" s="19"/>
      <c r="E223" s="10" t="s">
        <v>536</v>
      </c>
      <c r="F223" s="9">
        <f t="shared" si="6"/>
        <v>0</v>
      </c>
      <c r="G223" s="10"/>
      <c r="H223" s="10"/>
    </row>
    <row r="224" spans="1:8" x14ac:dyDescent="0.25">
      <c r="A224" s="22"/>
      <c r="B224" s="22">
        <v>17</v>
      </c>
      <c r="C224" s="22"/>
      <c r="D224" s="19"/>
      <c r="E224" s="10" t="s">
        <v>537</v>
      </c>
      <c r="F224" s="9">
        <f t="shared" si="6"/>
        <v>0</v>
      </c>
      <c r="G224" s="10"/>
      <c r="H224" s="10"/>
    </row>
    <row r="225" spans="1:8" ht="15.75" x14ac:dyDescent="0.25">
      <c r="A225" s="22"/>
      <c r="B225" s="22">
        <v>17</v>
      </c>
      <c r="C225" s="22"/>
      <c r="D225" s="19"/>
      <c r="E225" s="14" t="s">
        <v>573</v>
      </c>
      <c r="F225" s="9">
        <f t="shared" si="6"/>
        <v>0</v>
      </c>
      <c r="G225" s="10"/>
      <c r="H225" s="10"/>
    </row>
    <row r="226" spans="1:8" x14ac:dyDescent="0.25">
      <c r="A226" s="22"/>
      <c r="B226" s="22">
        <v>17</v>
      </c>
      <c r="C226" s="22"/>
      <c r="D226" s="19"/>
      <c r="E226" s="16" t="s">
        <v>580</v>
      </c>
      <c r="F226" s="9">
        <f t="shared" si="6"/>
        <v>0</v>
      </c>
      <c r="G226" s="10"/>
      <c r="H226" s="10"/>
    </row>
    <row r="227" spans="1:8" x14ac:dyDescent="0.25">
      <c r="A227" s="22"/>
      <c r="B227" s="22">
        <v>17</v>
      </c>
      <c r="C227" s="22"/>
      <c r="D227" s="19"/>
      <c r="E227" s="10" t="s">
        <v>581</v>
      </c>
      <c r="F227" s="9">
        <f t="shared" si="6"/>
        <v>0</v>
      </c>
      <c r="G227" s="10"/>
      <c r="H227" s="10"/>
    </row>
    <row r="228" spans="1:8" x14ac:dyDescent="0.25">
      <c r="A228" s="83" t="s">
        <v>34</v>
      </c>
      <c r="B228" s="25"/>
      <c r="C228" s="25"/>
      <c r="D228" s="80" t="s">
        <v>36</v>
      </c>
      <c r="E228" s="8" t="s">
        <v>37</v>
      </c>
      <c r="F228" s="9">
        <f t="shared" si="6"/>
        <v>0</v>
      </c>
      <c r="G228" s="9"/>
      <c r="H228" s="10"/>
    </row>
    <row r="229" spans="1:8" x14ac:dyDescent="0.25">
      <c r="A229" s="83"/>
      <c r="B229" s="26"/>
      <c r="C229" s="26"/>
      <c r="D229" s="82"/>
      <c r="E229" s="8" t="s">
        <v>38</v>
      </c>
      <c r="F229" s="9">
        <f t="shared" si="6"/>
        <v>0</v>
      </c>
      <c r="G229" s="10"/>
      <c r="H229" s="10"/>
    </row>
    <row r="230" spans="1:8" x14ac:dyDescent="0.25">
      <c r="A230" s="83"/>
      <c r="B230" s="27"/>
      <c r="C230" s="27"/>
      <c r="D230" s="81"/>
      <c r="E230" s="8" t="s">
        <v>39</v>
      </c>
      <c r="F230" s="9">
        <f t="shared" si="6"/>
        <v>0</v>
      </c>
      <c r="G230" s="10"/>
      <c r="H230" s="10"/>
    </row>
    <row r="231" spans="1:8" x14ac:dyDescent="0.25">
      <c r="A231" s="83"/>
      <c r="B231" s="26"/>
      <c r="C231" s="26"/>
      <c r="D231" s="26" t="s">
        <v>674</v>
      </c>
      <c r="E231" s="8" t="s">
        <v>39</v>
      </c>
      <c r="F231" s="9">
        <f t="shared" si="6"/>
        <v>0</v>
      </c>
      <c r="G231" s="10"/>
      <c r="H231" s="10"/>
    </row>
    <row r="232" spans="1:8" x14ac:dyDescent="0.25">
      <c r="A232" s="83"/>
      <c r="B232" s="26"/>
      <c r="C232" s="26"/>
      <c r="D232" s="26"/>
      <c r="E232" s="8" t="s">
        <v>46</v>
      </c>
      <c r="F232" s="9">
        <f t="shared" si="6"/>
        <v>0</v>
      </c>
      <c r="G232" s="10"/>
      <c r="H232" s="10"/>
    </row>
    <row r="233" spans="1:8" x14ac:dyDescent="0.25">
      <c r="A233" s="83"/>
      <c r="B233" s="25"/>
      <c r="C233" s="25"/>
      <c r="D233" s="80" t="s">
        <v>45</v>
      </c>
      <c r="E233" s="8" t="s">
        <v>46</v>
      </c>
      <c r="F233" s="9">
        <f t="shared" si="6"/>
        <v>0</v>
      </c>
      <c r="G233" s="10"/>
      <c r="H233" s="10"/>
    </row>
    <row r="234" spans="1:8" x14ac:dyDescent="0.25">
      <c r="A234" s="83"/>
      <c r="B234" s="27"/>
      <c r="C234" s="27"/>
      <c r="D234" s="81"/>
      <c r="E234" s="8" t="s">
        <v>39</v>
      </c>
      <c r="F234" s="9">
        <f t="shared" si="6"/>
        <v>0</v>
      </c>
      <c r="G234" s="10"/>
      <c r="H234" s="10"/>
    </row>
    <row r="235" spans="1:8" x14ac:dyDescent="0.25">
      <c r="A235" s="83"/>
      <c r="B235" s="25"/>
      <c r="C235" s="25"/>
      <c r="D235" s="80" t="s">
        <v>41</v>
      </c>
      <c r="E235" s="8" t="s">
        <v>37</v>
      </c>
      <c r="F235" s="9">
        <f t="shared" si="6"/>
        <v>0</v>
      </c>
      <c r="G235" s="10"/>
      <c r="H235" s="10"/>
    </row>
    <row r="236" spans="1:8" x14ac:dyDescent="0.25">
      <c r="A236" s="83"/>
      <c r="B236" s="26"/>
      <c r="C236" s="26"/>
      <c r="D236" s="82"/>
      <c r="E236" s="8" t="s">
        <v>38</v>
      </c>
      <c r="F236" s="9">
        <f t="shared" si="6"/>
        <v>0</v>
      </c>
      <c r="G236" s="10"/>
      <c r="H236" s="10"/>
    </row>
    <row r="237" spans="1:8" x14ac:dyDescent="0.25">
      <c r="A237" s="83"/>
      <c r="B237" s="27"/>
      <c r="C237" s="27"/>
      <c r="D237" s="81"/>
      <c r="E237" s="8" t="s">
        <v>39</v>
      </c>
      <c r="F237" s="9">
        <f t="shared" si="6"/>
        <v>0</v>
      </c>
      <c r="G237" s="10"/>
      <c r="H237" s="10"/>
    </row>
    <row r="238" spans="1:8" x14ac:dyDescent="0.25">
      <c r="A238" s="83"/>
      <c r="B238" s="25"/>
      <c r="C238" s="25"/>
      <c r="D238" s="80" t="s">
        <v>40</v>
      </c>
      <c r="E238" s="8" t="s">
        <v>37</v>
      </c>
      <c r="F238" s="9">
        <f t="shared" si="6"/>
        <v>0</v>
      </c>
      <c r="G238" s="10"/>
      <c r="H238" s="10"/>
    </row>
    <row r="239" spans="1:8" x14ac:dyDescent="0.25">
      <c r="A239" s="83"/>
      <c r="B239" s="26"/>
      <c r="C239" s="26"/>
      <c r="D239" s="82"/>
      <c r="E239" s="8" t="s">
        <v>38</v>
      </c>
      <c r="F239" s="9">
        <f t="shared" si="6"/>
        <v>0</v>
      </c>
      <c r="G239" s="10"/>
      <c r="H239" s="10"/>
    </row>
    <row r="240" spans="1:8" x14ac:dyDescent="0.25">
      <c r="A240" s="83"/>
      <c r="B240" s="27"/>
      <c r="C240" s="27"/>
      <c r="D240" s="81"/>
      <c r="E240" s="8" t="s">
        <v>39</v>
      </c>
      <c r="F240" s="9">
        <f t="shared" si="6"/>
        <v>0</v>
      </c>
      <c r="G240" s="10"/>
      <c r="H240" s="10"/>
    </row>
    <row r="241" spans="1:8" x14ac:dyDescent="0.25">
      <c r="A241" s="83"/>
      <c r="B241" s="25"/>
      <c r="C241" s="25"/>
      <c r="D241" s="80" t="s">
        <v>668</v>
      </c>
      <c r="E241" s="8" t="s">
        <v>46</v>
      </c>
      <c r="F241" s="9">
        <f t="shared" si="6"/>
        <v>0</v>
      </c>
      <c r="G241" s="10"/>
      <c r="H241" s="10"/>
    </row>
    <row r="242" spans="1:8" x14ac:dyDescent="0.25">
      <c r="A242" s="83"/>
      <c r="B242" s="27"/>
      <c r="C242" s="27"/>
      <c r="D242" s="81"/>
      <c r="E242" s="8" t="s">
        <v>39</v>
      </c>
      <c r="F242" s="9">
        <f t="shared" si="6"/>
        <v>0</v>
      </c>
      <c r="G242" s="10"/>
      <c r="H242" s="10"/>
    </row>
    <row r="243" spans="1:8" x14ac:dyDescent="0.25">
      <c r="A243" s="83"/>
      <c r="B243" s="25"/>
      <c r="C243" s="25"/>
      <c r="D243" s="80" t="s">
        <v>684</v>
      </c>
      <c r="E243" s="8" t="s">
        <v>53</v>
      </c>
      <c r="F243" s="9">
        <f t="shared" si="6"/>
        <v>0</v>
      </c>
      <c r="G243" s="10"/>
      <c r="H243" s="10"/>
    </row>
    <row r="244" spans="1:8" x14ac:dyDescent="0.25">
      <c r="A244" s="83"/>
      <c r="B244" s="26"/>
      <c r="C244" s="26"/>
      <c r="D244" s="82"/>
      <c r="E244" s="8" t="s">
        <v>54</v>
      </c>
      <c r="F244" s="9">
        <f t="shared" si="6"/>
        <v>0</v>
      </c>
      <c r="G244" s="10"/>
      <c r="H244" s="10"/>
    </row>
    <row r="245" spans="1:8" x14ac:dyDescent="0.25">
      <c r="A245" s="83"/>
      <c r="B245" s="26"/>
      <c r="C245" s="26"/>
      <c r="D245" s="82"/>
      <c r="E245" s="8" t="s">
        <v>55</v>
      </c>
      <c r="F245" s="9">
        <f t="shared" si="6"/>
        <v>0</v>
      </c>
      <c r="G245" s="10"/>
      <c r="H245" s="10"/>
    </row>
    <row r="246" spans="1:8" x14ac:dyDescent="0.25">
      <c r="A246" s="83"/>
      <c r="B246" s="26"/>
      <c r="C246" s="26"/>
      <c r="D246" s="82"/>
      <c r="E246" s="8" t="s">
        <v>47</v>
      </c>
      <c r="F246" s="9">
        <f t="shared" si="6"/>
        <v>0</v>
      </c>
      <c r="G246" s="10"/>
      <c r="H246" s="10"/>
    </row>
    <row r="247" spans="1:8" x14ac:dyDescent="0.25">
      <c r="A247" s="83"/>
      <c r="B247" s="26"/>
      <c r="C247" s="26"/>
      <c r="D247" s="82"/>
      <c r="E247" s="8" t="s">
        <v>48</v>
      </c>
      <c r="F247" s="9">
        <f t="shared" si="6"/>
        <v>0</v>
      </c>
      <c r="G247" s="10"/>
      <c r="H247" s="10"/>
    </row>
    <row r="248" spans="1:8" x14ac:dyDescent="0.25">
      <c r="A248" s="83"/>
      <c r="B248" s="26"/>
      <c r="C248" s="26"/>
      <c r="D248" s="82"/>
      <c r="E248" s="8" t="s">
        <v>49</v>
      </c>
      <c r="F248" s="9">
        <f t="shared" si="6"/>
        <v>0</v>
      </c>
      <c r="G248" s="10"/>
      <c r="H248" s="10"/>
    </row>
    <row r="249" spans="1:8" x14ac:dyDescent="0.25">
      <c r="A249" s="83"/>
      <c r="B249" s="26"/>
      <c r="C249" s="26"/>
      <c r="D249" s="82"/>
      <c r="E249" s="8" t="s">
        <v>50</v>
      </c>
      <c r="F249" s="9">
        <f t="shared" si="6"/>
        <v>0</v>
      </c>
      <c r="G249" s="10"/>
      <c r="H249" s="10"/>
    </row>
    <row r="250" spans="1:8" x14ac:dyDescent="0.25">
      <c r="A250" s="83"/>
      <c r="B250" s="26"/>
      <c r="C250" s="26"/>
      <c r="D250" s="82"/>
      <c r="E250" s="8" t="s">
        <v>51</v>
      </c>
      <c r="F250" s="9">
        <f t="shared" si="6"/>
        <v>0</v>
      </c>
      <c r="G250" s="10"/>
      <c r="H250" s="10"/>
    </row>
    <row r="251" spans="1:8" x14ac:dyDescent="0.25">
      <c r="A251" s="83"/>
      <c r="B251" s="27"/>
      <c r="C251" s="27"/>
      <c r="D251" s="81"/>
      <c r="E251" s="8" t="s">
        <v>52</v>
      </c>
      <c r="F251" s="9">
        <f t="shared" si="6"/>
        <v>0</v>
      </c>
      <c r="G251" s="10"/>
      <c r="H251" s="10"/>
    </row>
    <row r="252" spans="1:8" x14ac:dyDescent="0.25">
      <c r="A252" s="83"/>
      <c r="B252" s="25"/>
      <c r="C252" s="25"/>
      <c r="D252" s="80" t="s">
        <v>56</v>
      </c>
      <c r="E252" s="8" t="s">
        <v>42</v>
      </c>
      <c r="F252" s="9">
        <f t="shared" si="6"/>
        <v>0</v>
      </c>
      <c r="G252" s="10"/>
      <c r="H252" s="10"/>
    </row>
    <row r="253" spans="1:8" x14ac:dyDescent="0.25">
      <c r="A253" s="83"/>
      <c r="B253" s="26"/>
      <c r="C253" s="26"/>
      <c r="D253" s="82"/>
      <c r="E253" s="8" t="s">
        <v>43</v>
      </c>
      <c r="F253" s="9">
        <f t="shared" si="6"/>
        <v>0</v>
      </c>
      <c r="G253" s="10"/>
      <c r="H253" s="10"/>
    </row>
    <row r="254" spans="1:8" x14ac:dyDescent="0.25">
      <c r="A254" s="83"/>
      <c r="B254" s="27"/>
      <c r="C254" s="27"/>
      <c r="D254" s="81"/>
      <c r="E254" s="8" t="s">
        <v>44</v>
      </c>
      <c r="F254" s="9">
        <f t="shared" si="6"/>
        <v>0</v>
      </c>
      <c r="G254" s="10"/>
      <c r="H254" s="10"/>
    </row>
    <row r="255" spans="1:8" x14ac:dyDescent="0.25">
      <c r="A255" s="83" t="s">
        <v>685</v>
      </c>
    </row>
    <row r="256" spans="1:8" x14ac:dyDescent="0.25">
      <c r="A256" s="83"/>
    </row>
    <row r="257" spans="1:1" x14ac:dyDescent="0.25">
      <c r="A257" s="83"/>
    </row>
    <row r="258" spans="1:1" x14ac:dyDescent="0.25">
      <c r="A258" s="83"/>
    </row>
    <row r="259" spans="1:1" x14ac:dyDescent="0.25">
      <c r="A259" s="83"/>
    </row>
    <row r="260" spans="1:1" x14ac:dyDescent="0.25">
      <c r="A260" s="83"/>
    </row>
    <row r="261" spans="1:1" x14ac:dyDescent="0.25">
      <c r="A261" s="83"/>
    </row>
    <row r="262" spans="1:1" x14ac:dyDescent="0.25">
      <c r="A262" s="83"/>
    </row>
    <row r="263" spans="1:1" x14ac:dyDescent="0.25">
      <c r="A263" s="83"/>
    </row>
    <row r="264" spans="1:1" x14ac:dyDescent="0.25">
      <c r="A264" s="83"/>
    </row>
    <row r="265" spans="1:1" x14ac:dyDescent="0.25">
      <c r="A265" s="83"/>
    </row>
    <row r="266" spans="1:1" x14ac:dyDescent="0.25">
      <c r="A266" s="83"/>
    </row>
    <row r="267" spans="1:1" x14ac:dyDescent="0.25">
      <c r="A267" s="83"/>
    </row>
    <row r="268" spans="1:1" x14ac:dyDescent="0.25">
      <c r="A268" s="83"/>
    </row>
    <row r="269" spans="1:1" x14ac:dyDescent="0.25">
      <c r="A269" s="83"/>
    </row>
    <row r="270" spans="1:1" x14ac:dyDescent="0.25">
      <c r="A270" s="83"/>
    </row>
    <row r="271" spans="1:1" x14ac:dyDescent="0.25">
      <c r="A271" s="83"/>
    </row>
    <row r="272" spans="1:1" x14ac:dyDescent="0.25">
      <c r="A272" s="83"/>
    </row>
    <row r="273" spans="1:1" x14ac:dyDescent="0.25">
      <c r="A273" s="83"/>
    </row>
    <row r="274" spans="1:1" x14ac:dyDescent="0.25">
      <c r="A274" s="83"/>
    </row>
    <row r="275" spans="1:1" x14ac:dyDescent="0.25">
      <c r="A275" s="83"/>
    </row>
    <row r="276" spans="1:1" x14ac:dyDescent="0.25">
      <c r="A276" s="83"/>
    </row>
    <row r="277" spans="1:1" x14ac:dyDescent="0.25">
      <c r="A277" s="83"/>
    </row>
    <row r="278" spans="1:1" x14ac:dyDescent="0.25">
      <c r="A278" s="83"/>
    </row>
    <row r="279" spans="1:1" x14ac:dyDescent="0.25">
      <c r="A279" s="83"/>
    </row>
    <row r="280" spans="1:1" x14ac:dyDescent="0.25">
      <c r="A280" s="83"/>
    </row>
    <row r="281" spans="1:1" x14ac:dyDescent="0.25">
      <c r="A281" s="83"/>
    </row>
  </sheetData>
  <autoFilter ref="A2:H254"/>
  <mergeCells count="14">
    <mergeCell ref="D241:D242"/>
    <mergeCell ref="D243:D251"/>
    <mergeCell ref="D252:D254"/>
    <mergeCell ref="A255:A281"/>
    <mergeCell ref="A3:A5"/>
    <mergeCell ref="D62:D63"/>
    <mergeCell ref="D65:D66"/>
    <mergeCell ref="D191:D192"/>
    <mergeCell ref="D194:D195"/>
    <mergeCell ref="A228:A254"/>
    <mergeCell ref="D228:D230"/>
    <mergeCell ref="D233:D234"/>
    <mergeCell ref="D235:D237"/>
    <mergeCell ref="D238:D24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P30"/>
  <sheetViews>
    <sheetView tabSelected="1" workbookViewId="0"/>
  </sheetViews>
  <sheetFormatPr defaultColWidth="11.42578125" defaultRowHeight="15" x14ac:dyDescent="0.25"/>
  <cols>
    <col min="1" max="16384" width="11.42578125" style="1"/>
  </cols>
  <sheetData>
    <row r="2" spans="2:16" x14ac:dyDescent="0.25">
      <c r="B2" s="85" t="s">
        <v>1196</v>
      </c>
      <c r="C2" s="86"/>
      <c r="D2" s="86"/>
      <c r="E2" s="86"/>
      <c r="F2" s="86"/>
      <c r="G2" s="86"/>
      <c r="H2" s="86"/>
      <c r="I2" s="86"/>
      <c r="J2" s="86"/>
      <c r="K2" s="86"/>
      <c r="L2" s="86"/>
      <c r="M2" s="86"/>
      <c r="N2" s="86"/>
      <c r="O2" s="86"/>
      <c r="P2" s="86"/>
    </row>
    <row r="3" spans="2:16" x14ac:dyDescent="0.25">
      <c r="B3" s="86"/>
      <c r="C3" s="86"/>
      <c r="D3" s="86"/>
      <c r="E3" s="86"/>
      <c r="F3" s="86"/>
      <c r="G3" s="86"/>
      <c r="H3" s="86"/>
      <c r="I3" s="86"/>
      <c r="J3" s="86"/>
      <c r="K3" s="86"/>
      <c r="L3" s="86"/>
      <c r="M3" s="86"/>
      <c r="N3" s="86"/>
      <c r="O3" s="86"/>
      <c r="P3" s="86"/>
    </row>
    <row r="4" spans="2:16" x14ac:dyDescent="0.25">
      <c r="B4" s="86"/>
      <c r="C4" s="86"/>
      <c r="D4" s="86"/>
      <c r="E4" s="86"/>
      <c r="F4" s="86"/>
      <c r="G4" s="86"/>
      <c r="H4" s="86"/>
      <c r="I4" s="86"/>
      <c r="J4" s="86"/>
      <c r="K4" s="86"/>
      <c r="L4" s="86"/>
      <c r="M4" s="86"/>
      <c r="N4" s="86"/>
      <c r="O4" s="86"/>
      <c r="P4" s="86"/>
    </row>
    <row r="5" spans="2:16" x14ac:dyDescent="0.25">
      <c r="B5" s="86"/>
      <c r="C5" s="86"/>
      <c r="D5" s="86"/>
      <c r="E5" s="86"/>
      <c r="F5" s="86"/>
      <c r="G5" s="86"/>
      <c r="H5" s="86"/>
      <c r="I5" s="86"/>
      <c r="J5" s="86"/>
      <c r="K5" s="86"/>
      <c r="L5" s="86"/>
      <c r="M5" s="86"/>
      <c r="N5" s="86"/>
      <c r="O5" s="86"/>
      <c r="P5" s="86"/>
    </row>
    <row r="6" spans="2:16" x14ac:dyDescent="0.25">
      <c r="B6" s="86"/>
      <c r="C6" s="86"/>
      <c r="D6" s="86"/>
      <c r="E6" s="86"/>
      <c r="F6" s="86"/>
      <c r="G6" s="86"/>
      <c r="H6" s="86"/>
      <c r="I6" s="86"/>
      <c r="J6" s="86"/>
      <c r="K6" s="86"/>
      <c r="L6" s="86"/>
      <c r="M6" s="86"/>
      <c r="N6" s="86"/>
      <c r="O6" s="86"/>
      <c r="P6" s="86"/>
    </row>
    <row r="7" spans="2:16" ht="21" x14ac:dyDescent="0.25">
      <c r="B7" s="87" t="s">
        <v>1071</v>
      </c>
      <c r="C7" s="87"/>
      <c r="D7" s="87"/>
      <c r="E7" s="87"/>
      <c r="F7" s="87"/>
      <c r="G7" s="87"/>
      <c r="H7" s="87"/>
      <c r="I7" s="87"/>
      <c r="J7" s="87"/>
      <c r="K7" s="87"/>
      <c r="L7" s="87"/>
      <c r="M7" s="87"/>
      <c r="N7" s="87"/>
      <c r="O7" s="87"/>
      <c r="P7" s="87"/>
    </row>
    <row r="8" spans="2:16" x14ac:dyDescent="0.25">
      <c r="B8" s="88" t="s">
        <v>1072</v>
      </c>
      <c r="C8" s="88"/>
      <c r="D8" s="88"/>
      <c r="E8" s="88"/>
      <c r="F8" s="88"/>
      <c r="G8" s="88"/>
      <c r="H8" s="88"/>
      <c r="I8" s="88"/>
      <c r="J8" s="88"/>
      <c r="K8" s="88"/>
      <c r="L8" s="88"/>
      <c r="M8" s="88"/>
      <c r="N8" s="88"/>
      <c r="O8" s="88"/>
      <c r="P8" s="88"/>
    </row>
    <row r="9" spans="2:16" x14ac:dyDescent="0.25">
      <c r="B9" s="88"/>
      <c r="C9" s="88"/>
      <c r="D9" s="88"/>
      <c r="E9" s="88"/>
      <c r="F9" s="88"/>
      <c r="G9" s="88"/>
      <c r="H9" s="88"/>
      <c r="I9" s="88"/>
      <c r="J9" s="88"/>
      <c r="K9" s="88"/>
      <c r="L9" s="88"/>
      <c r="M9" s="88"/>
      <c r="N9" s="88"/>
      <c r="O9" s="88"/>
      <c r="P9" s="88"/>
    </row>
    <row r="10" spans="2:16" x14ac:dyDescent="0.25">
      <c r="B10" s="88"/>
      <c r="C10" s="88"/>
      <c r="D10" s="88"/>
      <c r="E10" s="88"/>
      <c r="F10" s="88"/>
      <c r="G10" s="88"/>
      <c r="H10" s="88"/>
      <c r="I10" s="88"/>
      <c r="J10" s="88"/>
      <c r="K10" s="88"/>
      <c r="L10" s="88"/>
      <c r="M10" s="88"/>
      <c r="N10" s="88"/>
      <c r="O10" s="88"/>
      <c r="P10" s="88"/>
    </row>
    <row r="11" spans="2:16" x14ac:dyDescent="0.25">
      <c r="B11" s="88"/>
      <c r="C11" s="88"/>
      <c r="D11" s="88"/>
      <c r="E11" s="88"/>
      <c r="F11" s="88"/>
      <c r="G11" s="88"/>
      <c r="H11" s="88"/>
      <c r="I11" s="88"/>
      <c r="J11" s="88"/>
      <c r="K11" s="88"/>
      <c r="L11" s="88"/>
      <c r="M11" s="88"/>
      <c r="N11" s="88"/>
      <c r="O11" s="88"/>
      <c r="P11" s="88"/>
    </row>
    <row r="12" spans="2:16" x14ac:dyDescent="0.25">
      <c r="B12" s="88"/>
      <c r="C12" s="88"/>
      <c r="D12" s="88"/>
      <c r="E12" s="88"/>
      <c r="F12" s="88"/>
      <c r="G12" s="88"/>
      <c r="H12" s="88"/>
      <c r="I12" s="88"/>
      <c r="J12" s="88"/>
      <c r="K12" s="88"/>
      <c r="L12" s="88"/>
      <c r="M12" s="88"/>
      <c r="N12" s="88"/>
      <c r="O12" s="88"/>
      <c r="P12" s="88"/>
    </row>
    <row r="13" spans="2:16" x14ac:dyDescent="0.25">
      <c r="B13" s="88"/>
      <c r="C13" s="88"/>
      <c r="D13" s="88"/>
      <c r="E13" s="88"/>
      <c r="F13" s="88"/>
      <c r="G13" s="88"/>
      <c r="H13" s="88"/>
      <c r="I13" s="88"/>
      <c r="J13" s="88"/>
      <c r="K13" s="88"/>
      <c r="L13" s="88"/>
      <c r="M13" s="88"/>
      <c r="N13" s="88"/>
      <c r="O13" s="88"/>
      <c r="P13" s="88"/>
    </row>
    <row r="14" spans="2:16" x14ac:dyDescent="0.25">
      <c r="B14" s="88"/>
      <c r="C14" s="88"/>
      <c r="D14" s="88"/>
      <c r="E14" s="88"/>
      <c r="F14" s="88"/>
      <c r="G14" s="88"/>
      <c r="H14" s="88"/>
      <c r="I14" s="88"/>
      <c r="J14" s="88"/>
      <c r="K14" s="88"/>
      <c r="L14" s="88"/>
      <c r="M14" s="88"/>
      <c r="N14" s="88"/>
      <c r="O14" s="88"/>
      <c r="P14" s="88"/>
    </row>
    <row r="15" spans="2:16" x14ac:dyDescent="0.25">
      <c r="B15" s="88"/>
      <c r="C15" s="88"/>
      <c r="D15" s="88"/>
      <c r="E15" s="88"/>
      <c r="F15" s="88"/>
      <c r="G15" s="88"/>
      <c r="H15" s="88"/>
      <c r="I15" s="88"/>
      <c r="J15" s="88"/>
      <c r="K15" s="88"/>
      <c r="L15" s="88"/>
      <c r="M15" s="88"/>
      <c r="N15" s="88"/>
      <c r="O15" s="88"/>
      <c r="P15" s="88"/>
    </row>
    <row r="16" spans="2:16" x14ac:dyDescent="0.25">
      <c r="B16" s="88"/>
      <c r="C16" s="88"/>
      <c r="D16" s="88"/>
      <c r="E16" s="88"/>
      <c r="F16" s="88"/>
      <c r="G16" s="88"/>
      <c r="H16" s="88"/>
      <c r="I16" s="88"/>
      <c r="J16" s="88"/>
      <c r="K16" s="88"/>
      <c r="L16" s="88"/>
      <c r="M16" s="88"/>
      <c r="N16" s="88"/>
      <c r="O16" s="88"/>
      <c r="P16" s="88"/>
    </row>
    <row r="17" spans="2:16" x14ac:dyDescent="0.25">
      <c r="B17" s="88"/>
      <c r="C17" s="88"/>
      <c r="D17" s="88"/>
      <c r="E17" s="88"/>
      <c r="F17" s="88"/>
      <c r="G17" s="88"/>
      <c r="H17" s="88"/>
      <c r="I17" s="88"/>
      <c r="J17" s="88"/>
      <c r="K17" s="88"/>
      <c r="L17" s="88"/>
      <c r="M17" s="88"/>
      <c r="N17" s="88"/>
      <c r="O17" s="88"/>
      <c r="P17" s="88"/>
    </row>
    <row r="18" spans="2:16" x14ac:dyDescent="0.25">
      <c r="B18" s="88"/>
      <c r="C18" s="88"/>
      <c r="D18" s="88"/>
      <c r="E18" s="88"/>
      <c r="F18" s="88"/>
      <c r="G18" s="88"/>
      <c r="H18" s="88"/>
      <c r="I18" s="88"/>
      <c r="J18" s="88"/>
      <c r="K18" s="88"/>
      <c r="L18" s="88"/>
      <c r="M18" s="88"/>
      <c r="N18" s="88"/>
      <c r="O18" s="88"/>
      <c r="P18" s="88"/>
    </row>
    <row r="19" spans="2:16" x14ac:dyDescent="0.25">
      <c r="B19" s="88"/>
      <c r="C19" s="88"/>
      <c r="D19" s="88"/>
      <c r="E19" s="88"/>
      <c r="F19" s="88"/>
      <c r="G19" s="88"/>
      <c r="H19" s="88"/>
      <c r="I19" s="88"/>
      <c r="J19" s="88"/>
      <c r="K19" s="88"/>
      <c r="L19" s="88"/>
      <c r="M19" s="88"/>
      <c r="N19" s="88"/>
      <c r="O19" s="88"/>
      <c r="P19" s="88"/>
    </row>
    <row r="20" spans="2:16" x14ac:dyDescent="0.25">
      <c r="B20" s="88"/>
      <c r="C20" s="88"/>
      <c r="D20" s="88"/>
      <c r="E20" s="88"/>
      <c r="F20" s="88"/>
      <c r="G20" s="88"/>
      <c r="H20" s="88"/>
      <c r="I20" s="88"/>
      <c r="J20" s="88"/>
      <c r="K20" s="88"/>
      <c r="L20" s="88"/>
      <c r="M20" s="88"/>
      <c r="N20" s="88"/>
      <c r="O20" s="88"/>
      <c r="P20" s="88"/>
    </row>
    <row r="21" spans="2:16" x14ac:dyDescent="0.25">
      <c r="B21" s="88"/>
      <c r="C21" s="88"/>
      <c r="D21" s="88"/>
      <c r="E21" s="88"/>
      <c r="F21" s="88"/>
      <c r="G21" s="88"/>
      <c r="H21" s="88"/>
      <c r="I21" s="88"/>
      <c r="J21" s="88"/>
      <c r="K21" s="88"/>
      <c r="L21" s="88"/>
      <c r="M21" s="88"/>
      <c r="N21" s="88"/>
      <c r="O21" s="88"/>
      <c r="P21" s="88"/>
    </row>
    <row r="22" spans="2:16" x14ac:dyDescent="0.25">
      <c r="B22" s="88"/>
      <c r="C22" s="88"/>
      <c r="D22" s="88"/>
      <c r="E22" s="88"/>
      <c r="F22" s="88"/>
      <c r="G22" s="88"/>
      <c r="H22" s="88"/>
      <c r="I22" s="88"/>
      <c r="J22" s="88"/>
      <c r="K22" s="88"/>
      <c r="L22" s="88"/>
      <c r="M22" s="88"/>
      <c r="N22" s="88"/>
      <c r="O22" s="88"/>
      <c r="P22" s="88"/>
    </row>
    <row r="23" spans="2:16" x14ac:dyDescent="0.25">
      <c r="B23" s="88"/>
      <c r="C23" s="88"/>
      <c r="D23" s="88"/>
      <c r="E23" s="88"/>
      <c r="F23" s="88"/>
      <c r="G23" s="88"/>
      <c r="H23" s="88"/>
      <c r="I23" s="88"/>
      <c r="J23" s="88"/>
      <c r="K23" s="88"/>
      <c r="L23" s="88"/>
      <c r="M23" s="88"/>
      <c r="N23" s="88"/>
      <c r="O23" s="88"/>
      <c r="P23" s="88"/>
    </row>
    <row r="24" spans="2:16" x14ac:dyDescent="0.25">
      <c r="B24" s="88"/>
      <c r="C24" s="88"/>
      <c r="D24" s="88"/>
      <c r="E24" s="88"/>
      <c r="F24" s="88"/>
      <c r="G24" s="88"/>
      <c r="H24" s="88"/>
      <c r="I24" s="88"/>
      <c r="J24" s="88"/>
      <c r="K24" s="88"/>
      <c r="L24" s="88"/>
      <c r="M24" s="88"/>
      <c r="N24" s="88"/>
      <c r="O24" s="88"/>
      <c r="P24" s="88"/>
    </row>
    <row r="25" spans="2:16" x14ac:dyDescent="0.25">
      <c r="B25" s="88"/>
      <c r="C25" s="88"/>
      <c r="D25" s="88"/>
      <c r="E25" s="88"/>
      <c r="F25" s="88"/>
      <c r="G25" s="88"/>
      <c r="H25" s="88"/>
      <c r="I25" s="88"/>
      <c r="J25" s="88"/>
      <c r="K25" s="88"/>
      <c r="L25" s="88"/>
      <c r="M25" s="88"/>
      <c r="N25" s="88"/>
      <c r="O25" s="88"/>
      <c r="P25" s="88"/>
    </row>
    <row r="26" spans="2:16" x14ac:dyDescent="0.25">
      <c r="B26" s="88"/>
      <c r="C26" s="88"/>
      <c r="D26" s="88"/>
      <c r="E26" s="88"/>
      <c r="F26" s="88"/>
      <c r="G26" s="88"/>
      <c r="H26" s="88"/>
      <c r="I26" s="88"/>
      <c r="J26" s="88"/>
      <c r="K26" s="88"/>
      <c r="L26" s="88"/>
      <c r="M26" s="88"/>
      <c r="N26" s="88"/>
      <c r="O26" s="88"/>
      <c r="P26" s="88"/>
    </row>
    <row r="27" spans="2:16" x14ac:dyDescent="0.25">
      <c r="B27" s="88"/>
      <c r="C27" s="88"/>
      <c r="D27" s="88"/>
      <c r="E27" s="88"/>
      <c r="F27" s="88"/>
      <c r="G27" s="88"/>
      <c r="H27" s="88"/>
      <c r="I27" s="88"/>
      <c r="J27" s="88"/>
      <c r="K27" s="88"/>
      <c r="L27" s="88"/>
      <c r="M27" s="88"/>
      <c r="N27" s="88"/>
      <c r="O27" s="88"/>
      <c r="P27" s="88"/>
    </row>
    <row r="28" spans="2:16" x14ac:dyDescent="0.25">
      <c r="B28" s="88"/>
      <c r="C28" s="88"/>
      <c r="D28" s="88"/>
      <c r="E28" s="88"/>
      <c r="F28" s="88"/>
      <c r="G28" s="88"/>
      <c r="H28" s="88"/>
      <c r="I28" s="88"/>
      <c r="J28" s="88"/>
      <c r="K28" s="88"/>
      <c r="L28" s="88"/>
      <c r="M28" s="88"/>
      <c r="N28" s="88"/>
      <c r="O28" s="88"/>
      <c r="P28" s="88"/>
    </row>
    <row r="29" spans="2:16" x14ac:dyDescent="0.25">
      <c r="B29" s="88"/>
      <c r="C29" s="88"/>
      <c r="D29" s="88"/>
      <c r="E29" s="88"/>
      <c r="F29" s="88"/>
      <c r="G29" s="88"/>
      <c r="H29" s="88"/>
      <c r="I29" s="88"/>
      <c r="J29" s="88"/>
      <c r="K29" s="88"/>
      <c r="L29" s="88"/>
      <c r="M29" s="88"/>
      <c r="N29" s="88"/>
      <c r="O29" s="88"/>
      <c r="P29" s="88"/>
    </row>
    <row r="30" spans="2:16" x14ac:dyDescent="0.25">
      <c r="B30" s="88"/>
      <c r="C30" s="88"/>
      <c r="D30" s="88"/>
      <c r="E30" s="88"/>
      <c r="F30" s="88"/>
      <c r="G30" s="88"/>
      <c r="H30" s="88"/>
      <c r="I30" s="88"/>
      <c r="J30" s="88"/>
      <c r="K30" s="88"/>
      <c r="L30" s="88"/>
      <c r="M30" s="88"/>
      <c r="N30" s="88"/>
      <c r="O30" s="88"/>
      <c r="P30" s="88"/>
    </row>
  </sheetData>
  <mergeCells count="3">
    <mergeCell ref="B2:P6"/>
    <mergeCell ref="B7:P7"/>
    <mergeCell ref="B8:P30"/>
  </mergeCells>
  <pageMargins left="0.7" right="0.7" top="0.75" bottom="0.75" header="0.3" footer="0.3"/>
  <pageSetup orientation="portrait" horizontalDpi="4294967292"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91"/>
  <sheetViews>
    <sheetView zoomScaleNormal="100" workbookViewId="0">
      <selection activeCell="F1" sqref="F1"/>
    </sheetView>
  </sheetViews>
  <sheetFormatPr defaultColWidth="9.140625" defaultRowHeight="15" x14ac:dyDescent="0.25"/>
  <cols>
    <col min="1" max="1" width="15.7109375" style="94" customWidth="1"/>
    <col min="2" max="2" width="26.28515625" style="149" hidden="1" customWidth="1"/>
    <col min="3" max="3" width="28.42578125" style="149" hidden="1" customWidth="1"/>
    <col min="4" max="4" width="21.85546875" style="149" hidden="1" customWidth="1"/>
    <col min="5" max="5" width="106" style="150" hidden="1" customWidth="1"/>
    <col min="6" max="6" width="80.85546875" style="94" bestFit="1" customWidth="1"/>
    <col min="7" max="7" width="28.28515625" style="158" bestFit="1" customWidth="1"/>
    <col min="8" max="8" width="75.28515625" style="94" customWidth="1"/>
    <col min="9" max="9" width="0" style="94" hidden="1" customWidth="1"/>
    <col min="10" max="10" width="19" style="94" customWidth="1"/>
    <col min="11" max="16384" width="9.140625" style="94"/>
  </cols>
  <sheetData>
    <row r="1" spans="1:10" ht="42" x14ac:dyDescent="0.35">
      <c r="A1" s="89" t="s">
        <v>58</v>
      </c>
      <c r="B1" s="89" t="s">
        <v>649</v>
      </c>
      <c r="C1" s="89" t="s">
        <v>653</v>
      </c>
      <c r="D1" s="89" t="s">
        <v>759</v>
      </c>
      <c r="E1" s="90" t="s">
        <v>772</v>
      </c>
      <c r="F1" s="91" t="s">
        <v>59</v>
      </c>
      <c r="G1" s="156" t="s">
        <v>60</v>
      </c>
      <c r="H1" s="89" t="s">
        <v>1194</v>
      </c>
      <c r="J1" s="159" t="s">
        <v>1195</v>
      </c>
    </row>
    <row r="2" spans="1:10" ht="30" x14ac:dyDescent="0.35">
      <c r="A2" s="92" t="s">
        <v>30</v>
      </c>
      <c r="B2" s="89"/>
      <c r="C2" s="89"/>
      <c r="D2" s="89"/>
      <c r="E2" s="90"/>
      <c r="F2" s="93" t="s">
        <v>1073</v>
      </c>
      <c r="G2" s="46" t="s">
        <v>1069</v>
      </c>
      <c r="H2" s="154" t="str">
        <f>G2</f>
        <v>(Select from dropdown menu)</v>
      </c>
    </row>
    <row r="3" spans="1:10" ht="15" customHeight="1" x14ac:dyDescent="0.25">
      <c r="B3" s="95" t="s">
        <v>650</v>
      </c>
      <c r="C3" s="95"/>
      <c r="D3" s="95" t="str">
        <f>B3</f>
        <v>country</v>
      </c>
      <c r="E3" s="96" t="str">
        <f>CONCATENATE("lab var ",D3," ","""",F3,"""")</f>
        <v>lab var country "Name of the country"</v>
      </c>
      <c r="F3" s="93" t="s">
        <v>31</v>
      </c>
      <c r="G3" s="46" t="s">
        <v>1069</v>
      </c>
      <c r="H3" s="155" t="str">
        <f>G3</f>
        <v>(Select from dropdown menu)</v>
      </c>
      <c r="I3" s="94" t="s">
        <v>893</v>
      </c>
    </row>
    <row r="4" spans="1:10" x14ac:dyDescent="0.25">
      <c r="A4" s="97"/>
      <c r="B4" s="95" t="s">
        <v>651</v>
      </c>
      <c r="C4" s="95"/>
      <c r="D4" s="95" t="str">
        <f>B4</f>
        <v>year</v>
      </c>
      <c r="E4" s="96" t="str">
        <f>CONCATENATE("lab var ",D4," ","""",F4,"""")</f>
        <v>lab var year "Year of the survey"</v>
      </c>
      <c r="F4" s="93" t="s">
        <v>32</v>
      </c>
      <c r="G4" s="46" t="s">
        <v>1069</v>
      </c>
      <c r="H4" s="155" t="str">
        <f>G4</f>
        <v>(Select from dropdown menu)</v>
      </c>
      <c r="I4" s="94" t="s">
        <v>893</v>
      </c>
    </row>
    <row r="5" spans="1:10" x14ac:dyDescent="0.25">
      <c r="A5" s="97"/>
      <c r="B5" s="98" t="s">
        <v>652</v>
      </c>
      <c r="C5" s="98"/>
      <c r="D5" s="98" t="str">
        <f>B5</f>
        <v>survey_name</v>
      </c>
      <c r="E5" s="99" t="str">
        <f>CONCATENATE("lab var ",D5," ","""",F5,"""")</f>
        <v>lab var survey_name "Name of the survey"</v>
      </c>
      <c r="F5" s="100" t="s">
        <v>33</v>
      </c>
      <c r="G5" s="48" t="s">
        <v>13</v>
      </c>
      <c r="H5" s="155" t="str">
        <f>G5</f>
        <v>(Fill)</v>
      </c>
      <c r="I5" s="94" t="s">
        <v>893</v>
      </c>
    </row>
    <row r="6" spans="1:10" x14ac:dyDescent="0.25">
      <c r="A6" s="97"/>
      <c r="B6" s="98" t="s">
        <v>975</v>
      </c>
      <c r="C6" s="98"/>
      <c r="D6" s="98" t="str">
        <f>B6</f>
        <v>purpose</v>
      </c>
      <c r="E6" s="99" t="str">
        <f>CONCATENATE("lab var ",D6," ","""",F6,"""")</f>
        <v>lab var purpose "What is the purpose of the survey?"</v>
      </c>
      <c r="F6" s="100" t="s">
        <v>784</v>
      </c>
      <c r="G6" s="46" t="s">
        <v>13</v>
      </c>
      <c r="H6" s="47" t="s">
        <v>1070</v>
      </c>
      <c r="I6" s="94" t="s">
        <v>893</v>
      </c>
      <c r="J6" s="149" t="str">
        <f>IF(H6=".","",170-LEN(H6))</f>
        <v/>
      </c>
    </row>
    <row r="7" spans="1:10" x14ac:dyDescent="0.25">
      <c r="A7" s="101"/>
      <c r="B7" s="98" t="s">
        <v>1066</v>
      </c>
      <c r="C7" s="98"/>
      <c r="D7" s="98" t="str">
        <f>B7</f>
        <v>other_purposes</v>
      </c>
      <c r="E7" s="99" t="str">
        <f>CONCATENATE("lab var ",D7," ","""",F7,"""")</f>
        <v>lab var other_purposes "Is the survey used for other purposes (specify in comments if info. available)?"</v>
      </c>
      <c r="F7" s="100" t="s">
        <v>1068</v>
      </c>
      <c r="G7" s="49" t="s">
        <v>1069</v>
      </c>
      <c r="H7" s="47" t="s">
        <v>1070</v>
      </c>
      <c r="J7" s="149" t="str">
        <f>IF(H7=".","",170-LEN(H7))</f>
        <v/>
      </c>
    </row>
    <row r="8" spans="1:10" x14ac:dyDescent="0.25">
      <c r="A8" s="92" t="s">
        <v>4</v>
      </c>
      <c r="B8" s="102"/>
      <c r="C8" s="102"/>
      <c r="D8" s="102"/>
      <c r="E8" s="103"/>
      <c r="F8" s="103" t="s">
        <v>1</v>
      </c>
      <c r="G8" s="151"/>
      <c r="H8" s="58"/>
      <c r="I8" s="94" t="s">
        <v>893</v>
      </c>
      <c r="J8" s="149"/>
    </row>
    <row r="9" spans="1:10" x14ac:dyDescent="0.25">
      <c r="A9" s="97"/>
      <c r="B9" s="104">
        <v>1</v>
      </c>
      <c r="C9" s="104" t="s">
        <v>416</v>
      </c>
      <c r="D9" s="104" t="str">
        <f t="shared" ref="D9:D20" si="0">IF(C9="",CONCATENATE("Q_",B9,),CONCATENATE("Q_",B9,"_",C9))</f>
        <v>Q_1_a</v>
      </c>
      <c r="E9" s="105" t="str">
        <f>CONCATENATE("lab var ",D9," ","""",$F$8,F9,"""")</f>
        <v>lab var Q_1_a "What is the sample representativeness?National"</v>
      </c>
      <c r="F9" s="105" t="s">
        <v>8</v>
      </c>
      <c r="G9" s="49" t="s">
        <v>1069</v>
      </c>
      <c r="H9" s="47" t="s">
        <v>1070</v>
      </c>
      <c r="I9" s="94" t="s">
        <v>893</v>
      </c>
      <c r="J9" s="149" t="str">
        <f t="shared" ref="J9:J22" si="1">IF(H9=".","",170-LEN(H9))</f>
        <v/>
      </c>
    </row>
    <row r="10" spans="1:10" x14ac:dyDescent="0.25">
      <c r="A10" s="97"/>
      <c r="B10" s="104">
        <v>1</v>
      </c>
      <c r="C10" s="104" t="s">
        <v>654</v>
      </c>
      <c r="D10" s="104" t="str">
        <f t="shared" si="0"/>
        <v>Q_1_b</v>
      </c>
      <c r="E10" s="105" t="str">
        <f>CONCATENATE("lab var ",D10," ","""",$F$8,F10,"""")</f>
        <v>lab var Q_1_b "What is the sample representativeness?Urban"</v>
      </c>
      <c r="F10" s="105" t="s">
        <v>7</v>
      </c>
      <c r="G10" s="49" t="s">
        <v>1069</v>
      </c>
      <c r="H10" s="47" t="s">
        <v>1070</v>
      </c>
      <c r="I10" s="94" t="s">
        <v>893</v>
      </c>
      <c r="J10" s="149" t="str">
        <f t="shared" si="1"/>
        <v/>
      </c>
    </row>
    <row r="11" spans="1:10" x14ac:dyDescent="0.25">
      <c r="A11" s="97"/>
      <c r="B11" s="104">
        <v>1</v>
      </c>
      <c r="C11" s="104" t="s">
        <v>657</v>
      </c>
      <c r="D11" s="104" t="str">
        <f t="shared" si="0"/>
        <v>Q_1_c</v>
      </c>
      <c r="E11" s="105" t="str">
        <f>CONCATENATE("lab var ",D11," ","""",$F$8,F11,"""")</f>
        <v>lab var Q_1_c "What is the sample representativeness?Rural"</v>
      </c>
      <c r="F11" s="105" t="s">
        <v>9</v>
      </c>
      <c r="G11" s="49" t="s">
        <v>1069</v>
      </c>
      <c r="H11" s="47" t="s">
        <v>1070</v>
      </c>
      <c r="I11" s="94" t="s">
        <v>893</v>
      </c>
      <c r="J11" s="149" t="str">
        <f t="shared" si="1"/>
        <v/>
      </c>
    </row>
    <row r="12" spans="1:10" x14ac:dyDescent="0.25">
      <c r="A12" s="97"/>
      <c r="B12" s="104">
        <v>1</v>
      </c>
      <c r="C12" s="104" t="s">
        <v>658</v>
      </c>
      <c r="D12" s="104" t="str">
        <f t="shared" si="0"/>
        <v>Q_1_d</v>
      </c>
      <c r="E12" s="105" t="str">
        <f>CONCATENATE("lab var ",D12," ","""",$F$8,F12,"""")</f>
        <v>lab var Q_1_d "What is the sample representativeness?Regional (specify in comments)"</v>
      </c>
      <c r="F12" s="105" t="s">
        <v>979</v>
      </c>
      <c r="G12" s="49" t="s">
        <v>1069</v>
      </c>
      <c r="H12" s="47" t="s">
        <v>1070</v>
      </c>
      <c r="I12" s="94" t="s">
        <v>893</v>
      </c>
      <c r="J12" s="149" t="str">
        <f t="shared" si="1"/>
        <v/>
      </c>
    </row>
    <row r="13" spans="1:10" x14ac:dyDescent="0.25">
      <c r="A13" s="97"/>
      <c r="B13" s="106">
        <v>1</v>
      </c>
      <c r="C13" s="106" t="s">
        <v>659</v>
      </c>
      <c r="D13" s="106" t="str">
        <f t="shared" si="0"/>
        <v>Q_1_e</v>
      </c>
      <c r="E13" s="107" t="str">
        <f>CONCATENATE("lab var ",D13," ","""",$F$8,F13,"""")</f>
        <v>lab var Q_1_e "What is the sample representativeness?Other (specify in comments)"</v>
      </c>
      <c r="F13" s="107" t="s">
        <v>665</v>
      </c>
      <c r="G13" s="51" t="s">
        <v>1069</v>
      </c>
      <c r="H13" s="47" t="s">
        <v>1070</v>
      </c>
      <c r="I13" s="94" t="s">
        <v>893</v>
      </c>
      <c r="J13" s="149" t="str">
        <f t="shared" si="1"/>
        <v/>
      </c>
    </row>
    <row r="14" spans="1:10" x14ac:dyDescent="0.25">
      <c r="A14" s="97"/>
      <c r="B14" s="108">
        <v>2</v>
      </c>
      <c r="C14" s="108"/>
      <c r="D14" s="108" t="str">
        <f t="shared" si="0"/>
        <v>Q_2</v>
      </c>
      <c r="E14" s="109" t="str">
        <f t="shared" ref="E14:E22" si="2">CONCATENATE("lab var ",D14," ","""",F14,"""")</f>
        <v>lab var Q_2 "What is the unit of observation?"</v>
      </c>
      <c r="F14" s="110" t="s">
        <v>976</v>
      </c>
      <c r="G14" s="52" t="s">
        <v>1069</v>
      </c>
      <c r="H14" s="47" t="s">
        <v>1070</v>
      </c>
      <c r="I14" s="94" t="s">
        <v>891</v>
      </c>
      <c r="J14" s="149" t="str">
        <f t="shared" si="1"/>
        <v/>
      </c>
    </row>
    <row r="15" spans="1:10" x14ac:dyDescent="0.25">
      <c r="A15" s="97"/>
      <c r="B15" s="95">
        <v>3</v>
      </c>
      <c r="C15" s="95"/>
      <c r="D15" s="95" t="str">
        <f t="shared" si="0"/>
        <v>Q_3</v>
      </c>
      <c r="E15" s="96" t="str">
        <f t="shared" si="2"/>
        <v>lab var Q_3 "Type of informant (if available)?"</v>
      </c>
      <c r="F15" s="93" t="s">
        <v>985</v>
      </c>
      <c r="G15" s="46" t="s">
        <v>1069</v>
      </c>
      <c r="H15" s="47" t="s">
        <v>1070</v>
      </c>
      <c r="J15" s="149" t="str">
        <f t="shared" si="1"/>
        <v/>
      </c>
    </row>
    <row r="16" spans="1:10" x14ac:dyDescent="0.25">
      <c r="A16" s="97"/>
      <c r="B16" s="95">
        <v>4</v>
      </c>
      <c r="C16" s="95"/>
      <c r="D16" s="95" t="str">
        <f t="shared" si="0"/>
        <v>Q_4</v>
      </c>
      <c r="E16" s="96" t="str">
        <f t="shared" si="2"/>
        <v>lab var Q_4 "How many sampling units does the survey have (specify in comments)?"</v>
      </c>
      <c r="F16" s="93" t="s">
        <v>978</v>
      </c>
      <c r="G16" s="46" t="s">
        <v>1069</v>
      </c>
      <c r="H16" s="47" t="s">
        <v>1070</v>
      </c>
      <c r="I16" s="94" t="s">
        <v>893</v>
      </c>
      <c r="J16" s="149" t="str">
        <f t="shared" si="1"/>
        <v/>
      </c>
    </row>
    <row r="17" spans="1:10" x14ac:dyDescent="0.25">
      <c r="A17" s="97"/>
      <c r="B17" s="95">
        <v>5</v>
      </c>
      <c r="C17" s="95"/>
      <c r="D17" s="95" t="str">
        <f t="shared" si="0"/>
        <v>Q_5</v>
      </c>
      <c r="E17" s="96" t="str">
        <f t="shared" si="2"/>
        <v>lab var Q_5 "What sampling method was used?"</v>
      </c>
      <c r="F17" s="93" t="s">
        <v>3</v>
      </c>
      <c r="G17" s="46" t="s">
        <v>13</v>
      </c>
      <c r="H17" s="47" t="s">
        <v>1070</v>
      </c>
      <c r="I17" s="94" t="s">
        <v>893</v>
      </c>
      <c r="J17" s="149" t="str">
        <f t="shared" si="1"/>
        <v/>
      </c>
    </row>
    <row r="18" spans="1:10" x14ac:dyDescent="0.25">
      <c r="A18" s="97"/>
      <c r="B18" s="98">
        <v>6</v>
      </c>
      <c r="C18" s="98"/>
      <c r="D18" s="98" t="str">
        <f t="shared" si="0"/>
        <v>Q_6</v>
      </c>
      <c r="E18" s="99" t="str">
        <f t="shared" si="2"/>
        <v>lab var Q_6 "Sampling  with replacement?"</v>
      </c>
      <c r="F18" s="100" t="s">
        <v>774</v>
      </c>
      <c r="G18" s="51" t="s">
        <v>1069</v>
      </c>
      <c r="H18" s="47" t="s">
        <v>1070</v>
      </c>
      <c r="J18" s="149" t="str">
        <f t="shared" si="1"/>
        <v/>
      </c>
    </row>
    <row r="19" spans="1:10" x14ac:dyDescent="0.25">
      <c r="A19" s="97"/>
      <c r="B19" s="102">
        <v>7</v>
      </c>
      <c r="C19" s="102"/>
      <c r="D19" s="102" t="str">
        <f t="shared" si="0"/>
        <v>Q_7</v>
      </c>
      <c r="E19" s="103" t="str">
        <f t="shared" si="2"/>
        <v>lab var Q_7 "What is the data collection period?"</v>
      </c>
      <c r="F19" s="103" t="s">
        <v>16</v>
      </c>
      <c r="G19" s="50" t="s">
        <v>1069</v>
      </c>
      <c r="H19" s="47" t="s">
        <v>1070</v>
      </c>
      <c r="I19" s="94" t="s">
        <v>893</v>
      </c>
      <c r="J19" s="149" t="str">
        <f t="shared" si="1"/>
        <v/>
      </c>
    </row>
    <row r="20" spans="1:10" x14ac:dyDescent="0.25">
      <c r="A20" s="97"/>
      <c r="B20" s="102">
        <v>8</v>
      </c>
      <c r="C20" s="102"/>
      <c r="D20" s="102" t="str">
        <f t="shared" si="0"/>
        <v>Q_8</v>
      </c>
      <c r="E20" s="103" t="str">
        <f t="shared" si="2"/>
        <v>lab var Q_8 "National rate of non-response % (if available)"</v>
      </c>
      <c r="F20" s="110" t="s">
        <v>981</v>
      </c>
      <c r="G20" s="46" t="s">
        <v>13</v>
      </c>
      <c r="H20" s="47" t="s">
        <v>1070</v>
      </c>
      <c r="I20" s="94" t="s">
        <v>893</v>
      </c>
      <c r="J20" s="149" t="str">
        <f t="shared" si="1"/>
        <v/>
      </c>
    </row>
    <row r="21" spans="1:10" x14ac:dyDescent="0.25">
      <c r="A21" s="97"/>
      <c r="B21" s="108"/>
      <c r="C21" s="108"/>
      <c r="D21" s="108"/>
      <c r="E21" s="109"/>
      <c r="F21" s="109" t="s">
        <v>988</v>
      </c>
      <c r="G21" s="46" t="s">
        <v>13</v>
      </c>
      <c r="H21" s="47" t="s">
        <v>1070</v>
      </c>
      <c r="J21" s="149" t="str">
        <f t="shared" si="1"/>
        <v/>
      </c>
    </row>
    <row r="22" spans="1:10" x14ac:dyDescent="0.25">
      <c r="A22" s="92" t="s">
        <v>5</v>
      </c>
      <c r="B22" s="102">
        <v>9</v>
      </c>
      <c r="C22" s="102"/>
      <c r="D22" s="102" t="str">
        <f>IF(C22="",CONCATENATE("Q_",B22,),CONCATENATE("Q_",B22,"_",C22))</f>
        <v>Q_9</v>
      </c>
      <c r="E22" s="103" t="str">
        <f t="shared" si="2"/>
        <v>lab var Q_9 "Total number of food items "</v>
      </c>
      <c r="F22" s="103" t="s">
        <v>788</v>
      </c>
      <c r="G22" s="48" t="s">
        <v>13</v>
      </c>
      <c r="H22" s="47" t="s">
        <v>1070</v>
      </c>
      <c r="I22" s="94" t="s">
        <v>893</v>
      </c>
      <c r="J22" s="149" t="str">
        <f t="shared" si="1"/>
        <v/>
      </c>
    </row>
    <row r="23" spans="1:10" x14ac:dyDescent="0.25">
      <c r="A23" s="97"/>
      <c r="B23" s="111"/>
      <c r="C23" s="111"/>
      <c r="D23" s="111"/>
      <c r="E23" s="112"/>
      <c r="F23" s="112" t="s">
        <v>18</v>
      </c>
      <c r="G23" s="152"/>
      <c r="H23" s="157"/>
      <c r="J23" s="149"/>
    </row>
    <row r="24" spans="1:10" x14ac:dyDescent="0.25">
      <c r="A24" s="97"/>
      <c r="B24" s="113">
        <v>10</v>
      </c>
      <c r="C24" s="113" t="s">
        <v>416</v>
      </c>
      <c r="D24" s="113" t="str">
        <f>IF(C24="",CONCATENATE("Q_",B24,),CONCATENATE("Q_",B24,"_",C24))</f>
        <v>Q_10_a</v>
      </c>
      <c r="E24" s="114" t="str">
        <f>CONCATENATE("lab var ",D24," ","""",$F$23,": ",F24,"""")</f>
        <v>lab var Q_10_a "Food at home: What is the method of data capture?"</v>
      </c>
      <c r="F24" s="115" t="s">
        <v>792</v>
      </c>
      <c r="G24" s="55" t="s">
        <v>1069</v>
      </c>
      <c r="H24" s="54" t="s">
        <v>1070</v>
      </c>
      <c r="I24" s="94" t="s">
        <v>895</v>
      </c>
      <c r="J24" s="149" t="str">
        <f t="shared" ref="J24:J28" si="3">IF(H24=".","",170-LEN(H24))</f>
        <v/>
      </c>
    </row>
    <row r="25" spans="1:10" x14ac:dyDescent="0.25">
      <c r="A25" s="97"/>
      <c r="B25" s="113">
        <v>10</v>
      </c>
      <c r="C25" s="113" t="s">
        <v>654</v>
      </c>
      <c r="D25" s="113" t="str">
        <f>IF(C25="",CONCATENATE("Q_",B25,),CONCATENATE("Q_",B25,"_",C25))</f>
        <v>Q_10_b</v>
      </c>
      <c r="E25" s="114" t="str">
        <f t="shared" ref="E25:E28" si="4">CONCATENATE("lab var ",D25," ","""",$F$23,": ",F25,"""")</f>
        <v>lab var Q_10_b "Food at home: What is the reference period for data collection?"</v>
      </c>
      <c r="F25" s="115" t="s">
        <v>785</v>
      </c>
      <c r="G25" s="55" t="s">
        <v>1069</v>
      </c>
      <c r="H25" s="54" t="s">
        <v>1070</v>
      </c>
      <c r="I25" s="94" t="s">
        <v>895</v>
      </c>
      <c r="J25" s="149" t="str">
        <f t="shared" si="3"/>
        <v/>
      </c>
    </row>
    <row r="26" spans="1:10" x14ac:dyDescent="0.25">
      <c r="A26" s="97"/>
      <c r="B26" s="113">
        <v>10</v>
      </c>
      <c r="C26" s="113" t="s">
        <v>657</v>
      </c>
      <c r="D26" s="113" t="str">
        <f>IF(C26="",CONCATENATE("Q_",B26,),CONCATENATE("Q_",B26,"_",C26))</f>
        <v>Q_10_c</v>
      </c>
      <c r="E26" s="114" t="str">
        <f t="shared" si="4"/>
        <v>lab var Q_10_c "Food at home: Does the survey collect information on consumption or expenditures?"</v>
      </c>
      <c r="F26" s="115" t="s">
        <v>791</v>
      </c>
      <c r="G26" s="55" t="s">
        <v>1069</v>
      </c>
      <c r="H26" s="54" t="s">
        <v>1070</v>
      </c>
      <c r="I26" s="94" t="s">
        <v>895</v>
      </c>
      <c r="J26" s="149" t="str">
        <f t="shared" si="3"/>
        <v/>
      </c>
    </row>
    <row r="27" spans="1:10" x14ac:dyDescent="0.25">
      <c r="A27" s="97"/>
      <c r="B27" s="113">
        <v>10</v>
      </c>
      <c r="C27" s="113" t="s">
        <v>658</v>
      </c>
      <c r="D27" s="113" t="str">
        <f>IF(C27="",CONCATENATE("Q_",B27,),CONCATENATE("Q_",B27,"_",C27))</f>
        <v>Q_10_d</v>
      </c>
      <c r="E27" s="114" t="str">
        <f t="shared" si="4"/>
        <v>lab var Q_10_d "Food at home: Does the survey collect data on quantities?"</v>
      </c>
      <c r="F27" s="115" t="s">
        <v>786</v>
      </c>
      <c r="G27" s="49" t="s">
        <v>1069</v>
      </c>
      <c r="H27" s="54" t="s">
        <v>1070</v>
      </c>
      <c r="I27" s="94" t="s">
        <v>895</v>
      </c>
      <c r="J27" s="149" t="str">
        <f t="shared" si="3"/>
        <v/>
      </c>
    </row>
    <row r="28" spans="1:10" x14ac:dyDescent="0.25">
      <c r="A28" s="97"/>
      <c r="B28" s="116">
        <v>10</v>
      </c>
      <c r="C28" s="116" t="s">
        <v>659</v>
      </c>
      <c r="D28" s="116" t="str">
        <f>IF(C28="",CONCATENATE("Q_",B28,),CONCATENATE("Q_",B28,"_",C28))</f>
        <v>Q_10_e</v>
      </c>
      <c r="E28" s="117" t="str">
        <f t="shared" si="4"/>
        <v>lab var Q_10_e "Food at home: Does the survey collect data on values?"</v>
      </c>
      <c r="F28" s="118" t="s">
        <v>787</v>
      </c>
      <c r="G28" s="51" t="s">
        <v>1069</v>
      </c>
      <c r="H28" s="54" t="s">
        <v>1070</v>
      </c>
      <c r="I28" s="94" t="s">
        <v>895</v>
      </c>
      <c r="J28" s="149" t="str">
        <f t="shared" si="3"/>
        <v/>
      </c>
    </row>
    <row r="29" spans="1:10" x14ac:dyDescent="0.25">
      <c r="A29" s="97"/>
      <c r="B29" s="119"/>
      <c r="C29" s="119"/>
      <c r="D29" s="119"/>
      <c r="E29" s="120"/>
      <c r="F29" s="120" t="s">
        <v>19</v>
      </c>
      <c r="G29" s="152"/>
      <c r="H29" s="58"/>
    </row>
    <row r="30" spans="1:10" x14ac:dyDescent="0.25">
      <c r="A30" s="97"/>
      <c r="B30" s="121">
        <v>11</v>
      </c>
      <c r="C30" s="121" t="s">
        <v>416</v>
      </c>
      <c r="D30" s="121" t="str">
        <f>IF(C30="",CONCATENATE("Q_",B30,),CONCATENATE("Q_",B30,"_",C30))</f>
        <v>Q_11_a</v>
      </c>
      <c r="E30" s="122" t="str">
        <f>CONCATENATE("lab var ",D30," ","""",$F$29,": ",F30,"""")</f>
        <v>lab var Q_11_a "Food outside home: What is the method of data capture?"</v>
      </c>
      <c r="F30" s="123" t="s">
        <v>792</v>
      </c>
      <c r="G30" s="55" t="s">
        <v>1069</v>
      </c>
      <c r="H30" s="47" t="s">
        <v>1070</v>
      </c>
      <c r="I30" s="94" t="s">
        <v>895</v>
      </c>
      <c r="J30" s="149" t="str">
        <f t="shared" ref="J30:J34" si="5">IF(H30=".","",170-LEN(H30))</f>
        <v/>
      </c>
    </row>
    <row r="31" spans="1:10" x14ac:dyDescent="0.25">
      <c r="A31" s="97"/>
      <c r="B31" s="121">
        <v>11</v>
      </c>
      <c r="C31" s="121" t="s">
        <v>654</v>
      </c>
      <c r="D31" s="121" t="str">
        <f>IF(C31="",CONCATENATE("Q_",B31,),CONCATENATE("Q_",B31,"_",C31))</f>
        <v>Q_11_b</v>
      </c>
      <c r="E31" s="122" t="str">
        <f t="shared" ref="E31:E34" si="6">CONCATENATE("lab var ",D31," ","""",$F$29,": ",F31,"""")</f>
        <v>lab var Q_11_b "Food outside home: What is the reference period for data collection?"</v>
      </c>
      <c r="F31" s="123" t="s">
        <v>785</v>
      </c>
      <c r="G31" s="55" t="s">
        <v>1069</v>
      </c>
      <c r="H31" s="47" t="s">
        <v>1070</v>
      </c>
      <c r="I31" s="94" t="s">
        <v>895</v>
      </c>
      <c r="J31" s="149" t="str">
        <f t="shared" si="5"/>
        <v/>
      </c>
    </row>
    <row r="32" spans="1:10" x14ac:dyDescent="0.25">
      <c r="A32" s="97"/>
      <c r="B32" s="121">
        <v>11</v>
      </c>
      <c r="C32" s="121" t="s">
        <v>657</v>
      </c>
      <c r="D32" s="121" t="str">
        <f>IF(C32="",CONCATENATE("Q_",B32,),CONCATENATE("Q_",B32,"_",C32))</f>
        <v>Q_11_c</v>
      </c>
      <c r="E32" s="122" t="str">
        <f t="shared" si="6"/>
        <v>lab var Q_11_c "Food outside home: Does the survey collect information on consumption or expenditures?"</v>
      </c>
      <c r="F32" s="123" t="s">
        <v>791</v>
      </c>
      <c r="G32" s="55" t="s">
        <v>1069</v>
      </c>
      <c r="H32" s="47" t="s">
        <v>1070</v>
      </c>
      <c r="I32" s="94" t="s">
        <v>895</v>
      </c>
      <c r="J32" s="149" t="str">
        <f t="shared" si="5"/>
        <v/>
      </c>
    </row>
    <row r="33" spans="1:10" x14ac:dyDescent="0.25">
      <c r="A33" s="97"/>
      <c r="B33" s="121">
        <v>11</v>
      </c>
      <c r="C33" s="121" t="s">
        <v>658</v>
      </c>
      <c r="D33" s="121" t="str">
        <f>IF(C33="",CONCATENATE("Q_",B33,),CONCATENATE("Q_",B33,"_",C33))</f>
        <v>Q_11_d</v>
      </c>
      <c r="E33" s="122" t="str">
        <f t="shared" si="6"/>
        <v>lab var Q_11_d "Food outside home: Does the survey collect data on quantities?"</v>
      </c>
      <c r="F33" s="123" t="s">
        <v>786</v>
      </c>
      <c r="G33" s="49" t="s">
        <v>1069</v>
      </c>
      <c r="H33" s="47" t="s">
        <v>1070</v>
      </c>
      <c r="I33" s="94" t="s">
        <v>895</v>
      </c>
      <c r="J33" s="149" t="str">
        <f t="shared" si="5"/>
        <v/>
      </c>
    </row>
    <row r="34" spans="1:10" x14ac:dyDescent="0.25">
      <c r="A34" s="97"/>
      <c r="B34" s="124">
        <v>11</v>
      </c>
      <c r="C34" s="124" t="s">
        <v>659</v>
      </c>
      <c r="D34" s="124" t="str">
        <f>IF(C34="",CONCATENATE("Q_",B34,),CONCATENATE("Q_",B34,"_",C34))</f>
        <v>Q_11_e</v>
      </c>
      <c r="E34" s="125" t="str">
        <f t="shared" si="6"/>
        <v>lab var Q_11_e "Food outside home: Does the survey collect data on values?"</v>
      </c>
      <c r="F34" s="126" t="s">
        <v>787</v>
      </c>
      <c r="G34" s="51" t="s">
        <v>1069</v>
      </c>
      <c r="H34" s="47" t="s">
        <v>1070</v>
      </c>
      <c r="I34" s="94" t="s">
        <v>895</v>
      </c>
      <c r="J34" s="149" t="str">
        <f t="shared" si="5"/>
        <v/>
      </c>
    </row>
    <row r="35" spans="1:10" x14ac:dyDescent="0.25">
      <c r="A35" s="97"/>
      <c r="B35" s="111"/>
      <c r="C35" s="111"/>
      <c r="D35" s="111"/>
      <c r="E35" s="112"/>
      <c r="F35" s="112" t="s">
        <v>666</v>
      </c>
      <c r="G35" s="152"/>
      <c r="H35" s="157"/>
    </row>
    <row r="36" spans="1:10" x14ac:dyDescent="0.25">
      <c r="A36" s="97"/>
      <c r="B36" s="113">
        <v>12</v>
      </c>
      <c r="C36" s="113" t="s">
        <v>416</v>
      </c>
      <c r="D36" s="113" t="str">
        <f t="shared" ref="D36:D41" si="7">IF(C36="",CONCATENATE("Q_",B36,),CONCATENATE("Q_",B36,"_",C36))</f>
        <v>Q_12_a</v>
      </c>
      <c r="E36" s="114" t="str">
        <f>CONCATENATE("lab var ",D36," ","""",$F$35,": ",F36,"""")</f>
        <v>lab var Q_12_a "Food produced at home: What is the method of data capture?"</v>
      </c>
      <c r="F36" s="115" t="s">
        <v>792</v>
      </c>
      <c r="G36" s="55" t="s">
        <v>1069</v>
      </c>
      <c r="H36" s="54" t="s">
        <v>1070</v>
      </c>
      <c r="I36" s="94" t="s">
        <v>895</v>
      </c>
      <c r="J36" s="149" t="str">
        <f t="shared" ref="J36:J41" si="8">IF(H36=".","",170-LEN(H36))</f>
        <v/>
      </c>
    </row>
    <row r="37" spans="1:10" x14ac:dyDescent="0.25">
      <c r="A37" s="97"/>
      <c r="B37" s="113">
        <v>12</v>
      </c>
      <c r="C37" s="113" t="s">
        <v>654</v>
      </c>
      <c r="D37" s="113" t="str">
        <f t="shared" si="7"/>
        <v>Q_12_b</v>
      </c>
      <c r="E37" s="114" t="str">
        <f t="shared" ref="E37:E41" si="9">CONCATENATE("lab var ",D37," ","""",$F$35,": ",F37,"""")</f>
        <v>lab var Q_12_b "Food produced at home: What is the method of data capture for food produced at home?"</v>
      </c>
      <c r="F37" s="115" t="s">
        <v>887</v>
      </c>
      <c r="G37" s="55" t="s">
        <v>1069</v>
      </c>
      <c r="H37" s="54" t="s">
        <v>1070</v>
      </c>
      <c r="I37" s="94" t="s">
        <v>895</v>
      </c>
      <c r="J37" s="149" t="str">
        <f t="shared" si="8"/>
        <v/>
      </c>
    </row>
    <row r="38" spans="1:10" x14ac:dyDescent="0.25">
      <c r="A38" s="97"/>
      <c r="B38" s="113">
        <v>12</v>
      </c>
      <c r="C38" s="113" t="s">
        <v>657</v>
      </c>
      <c r="D38" s="113" t="str">
        <f t="shared" si="7"/>
        <v>Q_12_c</v>
      </c>
      <c r="E38" s="114" t="str">
        <f t="shared" si="9"/>
        <v>lab var Q_12_c "Food produced at home: What is the reference period for data collection?"</v>
      </c>
      <c r="F38" s="115" t="s">
        <v>785</v>
      </c>
      <c r="G38" s="55" t="s">
        <v>1069</v>
      </c>
      <c r="H38" s="54" t="s">
        <v>1070</v>
      </c>
      <c r="I38" s="94" t="s">
        <v>895</v>
      </c>
      <c r="J38" s="149" t="str">
        <f t="shared" si="8"/>
        <v/>
      </c>
    </row>
    <row r="39" spans="1:10" x14ac:dyDescent="0.25">
      <c r="A39" s="97"/>
      <c r="B39" s="113">
        <v>12</v>
      </c>
      <c r="C39" s="113" t="s">
        <v>658</v>
      </c>
      <c r="D39" s="113" t="str">
        <f t="shared" si="7"/>
        <v>Q_12_d</v>
      </c>
      <c r="E39" s="114" t="str">
        <f t="shared" si="9"/>
        <v>lab var Q_12_d "Food produced at home: Does the survey collect information on consumption or expenditures?"</v>
      </c>
      <c r="F39" s="115" t="s">
        <v>791</v>
      </c>
      <c r="G39" s="55" t="s">
        <v>1069</v>
      </c>
      <c r="H39" s="54" t="s">
        <v>1070</v>
      </c>
      <c r="I39" s="94" t="s">
        <v>895</v>
      </c>
      <c r="J39" s="149" t="str">
        <f t="shared" si="8"/>
        <v/>
      </c>
    </row>
    <row r="40" spans="1:10" x14ac:dyDescent="0.25">
      <c r="A40" s="97"/>
      <c r="B40" s="113">
        <v>12</v>
      </c>
      <c r="C40" s="113" t="s">
        <v>659</v>
      </c>
      <c r="D40" s="113" t="str">
        <f t="shared" si="7"/>
        <v>Q_12_e</v>
      </c>
      <c r="E40" s="114" t="str">
        <f t="shared" si="9"/>
        <v>lab var Q_12_e "Food produced at home: Does the survey collect data on quantities?"</v>
      </c>
      <c r="F40" s="115" t="s">
        <v>786</v>
      </c>
      <c r="G40" s="49" t="s">
        <v>1069</v>
      </c>
      <c r="H40" s="54" t="s">
        <v>1070</v>
      </c>
      <c r="I40" s="94" t="s">
        <v>895</v>
      </c>
      <c r="J40" s="149" t="str">
        <f t="shared" si="8"/>
        <v/>
      </c>
    </row>
    <row r="41" spans="1:10" x14ac:dyDescent="0.25">
      <c r="A41" s="97"/>
      <c r="B41" s="116">
        <v>12</v>
      </c>
      <c r="C41" s="116" t="s">
        <v>661</v>
      </c>
      <c r="D41" s="116" t="str">
        <f t="shared" si="7"/>
        <v>Q_12_f</v>
      </c>
      <c r="E41" s="117" t="str">
        <f t="shared" si="9"/>
        <v>lab var Q_12_f "Food produced at home: Does the survey collect data on values?"</v>
      </c>
      <c r="F41" s="118" t="s">
        <v>787</v>
      </c>
      <c r="G41" s="51" t="s">
        <v>1069</v>
      </c>
      <c r="H41" s="54" t="s">
        <v>1070</v>
      </c>
      <c r="I41" s="94" t="s">
        <v>895</v>
      </c>
      <c r="J41" s="149" t="str">
        <f t="shared" si="8"/>
        <v/>
      </c>
    </row>
    <row r="42" spans="1:10" x14ac:dyDescent="0.25">
      <c r="A42" s="97"/>
      <c r="B42" s="119"/>
      <c r="C42" s="119"/>
      <c r="D42" s="119"/>
      <c r="E42" s="120"/>
      <c r="F42" s="120" t="s">
        <v>20</v>
      </c>
      <c r="G42" s="152"/>
      <c r="H42" s="58"/>
    </row>
    <row r="43" spans="1:10" x14ac:dyDescent="0.25">
      <c r="A43" s="97"/>
      <c r="B43" s="121">
        <v>13</v>
      </c>
      <c r="C43" s="121" t="s">
        <v>416</v>
      </c>
      <c r="D43" s="121" t="str">
        <f>IF(C43="",CONCATENATE("Q_",B43,),CONCATENATE("Q_",B43,"_",C43))</f>
        <v>Q_13_a</v>
      </c>
      <c r="E43" s="122" t="str">
        <f>CONCATENATE("lab var ",D43," ","""",$F$42,": ",F43,"""")</f>
        <v>lab var Q_13_a "In-kind transfers to the household: What is the method of data capture?"</v>
      </c>
      <c r="F43" s="123" t="s">
        <v>792</v>
      </c>
      <c r="G43" s="55" t="s">
        <v>1069</v>
      </c>
      <c r="H43" s="47" t="s">
        <v>1070</v>
      </c>
      <c r="I43" s="94" t="s">
        <v>895</v>
      </c>
      <c r="J43" s="149" t="str">
        <f t="shared" ref="J43:J46" si="10">IF(H43=".","",170-LEN(H43))</f>
        <v/>
      </c>
    </row>
    <row r="44" spans="1:10" x14ac:dyDescent="0.25">
      <c r="A44" s="97"/>
      <c r="B44" s="121">
        <v>13</v>
      </c>
      <c r="C44" s="121" t="s">
        <v>654</v>
      </c>
      <c r="D44" s="121" t="str">
        <f>IF(C44="",CONCATENATE("Q_",B44,),CONCATENATE("Q_",B44,"_",C44))</f>
        <v>Q_13_b</v>
      </c>
      <c r="E44" s="122" t="str">
        <f t="shared" ref="E44:E46" si="11">CONCATENATE("lab var ",D44," ","""",$F$42,": ",F44,"""")</f>
        <v>lab var Q_13_b "In-kind transfers to the household: What is the reference period for data collection?"</v>
      </c>
      <c r="F44" s="123" t="s">
        <v>785</v>
      </c>
      <c r="G44" s="55" t="s">
        <v>1069</v>
      </c>
      <c r="H44" s="47" t="s">
        <v>1070</v>
      </c>
      <c r="I44" s="94" t="s">
        <v>895</v>
      </c>
      <c r="J44" s="149" t="str">
        <f t="shared" si="10"/>
        <v/>
      </c>
    </row>
    <row r="45" spans="1:10" x14ac:dyDescent="0.25">
      <c r="A45" s="97"/>
      <c r="B45" s="121">
        <v>13</v>
      </c>
      <c r="C45" s="121" t="s">
        <v>657</v>
      </c>
      <c r="D45" s="121" t="str">
        <f>IF(C45="",CONCATENATE("Q_",B45,),CONCATENATE("Q_",B45,"_",C45))</f>
        <v>Q_13_c</v>
      </c>
      <c r="E45" s="122" t="str">
        <f t="shared" si="11"/>
        <v>lab var Q_13_c "In-kind transfers to the household: Does the survey collect data on quantities?"</v>
      </c>
      <c r="F45" s="123" t="s">
        <v>786</v>
      </c>
      <c r="G45" s="49" t="s">
        <v>1069</v>
      </c>
      <c r="H45" s="47" t="s">
        <v>1070</v>
      </c>
      <c r="I45" s="94" t="s">
        <v>895</v>
      </c>
      <c r="J45" s="149" t="str">
        <f t="shared" si="10"/>
        <v/>
      </c>
    </row>
    <row r="46" spans="1:10" x14ac:dyDescent="0.25">
      <c r="A46" s="97"/>
      <c r="B46" s="121">
        <v>13</v>
      </c>
      <c r="C46" s="121" t="s">
        <v>658</v>
      </c>
      <c r="D46" s="121" t="str">
        <f>IF(C46="",CONCATENATE("Q_",B46,),CONCATENATE("Q_",B46,"_",C46))</f>
        <v>Q_13_d</v>
      </c>
      <c r="E46" s="122" t="str">
        <f t="shared" si="11"/>
        <v>lab var Q_13_d "In-kind transfers to the household: Does the survey collect data on values?"</v>
      </c>
      <c r="F46" s="126" t="s">
        <v>787</v>
      </c>
      <c r="G46" s="51" t="s">
        <v>1069</v>
      </c>
      <c r="H46" s="47" t="s">
        <v>1070</v>
      </c>
      <c r="I46" s="94" t="s">
        <v>895</v>
      </c>
      <c r="J46" s="149" t="str">
        <f t="shared" si="10"/>
        <v/>
      </c>
    </row>
    <row r="47" spans="1:10" x14ac:dyDescent="0.25">
      <c r="A47" s="97"/>
      <c r="B47" s="119"/>
      <c r="C47" s="119"/>
      <c r="D47" s="119"/>
      <c r="E47" s="120"/>
      <c r="F47" s="120" t="s">
        <v>21</v>
      </c>
      <c r="H47" s="58"/>
    </row>
    <row r="48" spans="1:10" x14ac:dyDescent="0.25">
      <c r="A48" s="97"/>
      <c r="B48" s="121">
        <v>14</v>
      </c>
      <c r="C48" s="121" t="s">
        <v>416</v>
      </c>
      <c r="D48" s="121" t="str">
        <f>IF(C48="",CONCATENATE("Q_",B48,),CONCATENATE("Q_",B48,"_",C48))</f>
        <v>Q_14_a</v>
      </c>
      <c r="E48" s="122" t="str">
        <f>CONCATENATE("lab var ",D48," ","""",$F$47,": ",F48,"""")</f>
        <v>lab var Q_14_a "In-kind transfers to other households: What is the method of data capture?"</v>
      </c>
      <c r="F48" s="123" t="s">
        <v>792</v>
      </c>
      <c r="G48" s="55" t="s">
        <v>1069</v>
      </c>
      <c r="H48" s="47" t="s">
        <v>1070</v>
      </c>
      <c r="J48" s="149" t="str">
        <f t="shared" ref="J48:J52" si="12">IF(H48=".","",170-LEN(H48))</f>
        <v/>
      </c>
    </row>
    <row r="49" spans="1:10" x14ac:dyDescent="0.25">
      <c r="A49" s="97"/>
      <c r="B49" s="121">
        <v>14</v>
      </c>
      <c r="C49" s="121" t="s">
        <v>654</v>
      </c>
      <c r="D49" s="121" t="str">
        <f>IF(C49="",CONCATENATE("Q_",B49,),CONCATENATE("Q_",B49,"_",C49))</f>
        <v>Q_14_b</v>
      </c>
      <c r="E49" s="122" t="str">
        <f t="shared" ref="E49:E51" si="13">CONCATENATE("lab var ",D49," ","""",$F$47,": ",F49,"""")</f>
        <v>lab var Q_14_b "In-kind transfers to other households: What is the reference period for data collection?"</v>
      </c>
      <c r="F49" s="123" t="s">
        <v>785</v>
      </c>
      <c r="G49" s="55" t="s">
        <v>1069</v>
      </c>
      <c r="H49" s="47" t="s">
        <v>1070</v>
      </c>
      <c r="J49" s="149" t="str">
        <f t="shared" si="12"/>
        <v/>
      </c>
    </row>
    <row r="50" spans="1:10" x14ac:dyDescent="0.25">
      <c r="A50" s="97"/>
      <c r="B50" s="121">
        <v>14</v>
      </c>
      <c r="C50" s="121" t="s">
        <v>657</v>
      </c>
      <c r="D50" s="121" t="str">
        <f>IF(C50="",CONCATENATE("Q_",B50,),CONCATENATE("Q_",B50,"_",C50))</f>
        <v>Q_14_c</v>
      </c>
      <c r="E50" s="122" t="str">
        <f t="shared" si="13"/>
        <v>lab var Q_14_c "In-kind transfers to other households: Does the survey collect data on quantities?"</v>
      </c>
      <c r="F50" s="123" t="s">
        <v>786</v>
      </c>
      <c r="G50" s="49" t="s">
        <v>1069</v>
      </c>
      <c r="H50" s="47" t="s">
        <v>1070</v>
      </c>
      <c r="J50" s="149" t="str">
        <f t="shared" si="12"/>
        <v/>
      </c>
    </row>
    <row r="51" spans="1:10" x14ac:dyDescent="0.25">
      <c r="A51" s="97"/>
      <c r="B51" s="121">
        <v>14</v>
      </c>
      <c r="C51" s="121" t="s">
        <v>658</v>
      </c>
      <c r="D51" s="121" t="str">
        <f>IF(C51="",CONCATENATE("Q_",B51,),CONCATENATE("Q_",B51,"_",C51))</f>
        <v>Q_14_d</v>
      </c>
      <c r="E51" s="122" t="str">
        <f t="shared" si="13"/>
        <v>lab var Q_14_d "In-kind transfers to other households: Does the survey collect data on values?"</v>
      </c>
      <c r="F51" s="123" t="s">
        <v>787</v>
      </c>
      <c r="G51" s="51" t="s">
        <v>1069</v>
      </c>
      <c r="H51" s="47" t="s">
        <v>1070</v>
      </c>
      <c r="J51" s="149" t="str">
        <f t="shared" si="12"/>
        <v/>
      </c>
    </row>
    <row r="52" spans="1:10" x14ac:dyDescent="0.25">
      <c r="A52" s="92" t="s">
        <v>677</v>
      </c>
      <c r="B52" s="102">
        <v>15</v>
      </c>
      <c r="C52" s="102"/>
      <c r="D52" s="102" t="str">
        <f>IF(C52="",CONCATENATE("Q_",B52,),CONCATENATE("Q_",B52,"_",C52))</f>
        <v>Q_15</v>
      </c>
      <c r="E52" s="103" t="str">
        <f t="shared" ref="E52" si="14">CONCATENATE("lab var ",D52," ","""",F52,"""")</f>
        <v>lab var Q_15 "Total number of non-food items "</v>
      </c>
      <c r="F52" s="103" t="s">
        <v>789</v>
      </c>
      <c r="G52" s="46" t="s">
        <v>13</v>
      </c>
      <c r="H52" s="47" t="s">
        <v>1070</v>
      </c>
      <c r="J52" s="149" t="str">
        <f t="shared" si="12"/>
        <v/>
      </c>
    </row>
    <row r="53" spans="1:10" x14ac:dyDescent="0.25">
      <c r="A53" s="97"/>
      <c r="B53" s="102"/>
      <c r="C53" s="102"/>
      <c r="D53" s="102"/>
      <c r="E53" s="103"/>
      <c r="F53" s="103" t="s">
        <v>790</v>
      </c>
      <c r="H53" s="58"/>
    </row>
    <row r="54" spans="1:10" x14ac:dyDescent="0.25">
      <c r="A54" s="97"/>
      <c r="B54" s="127"/>
      <c r="C54" s="127"/>
      <c r="D54" s="127"/>
      <c r="E54" s="128"/>
      <c r="F54" s="128" t="s">
        <v>434</v>
      </c>
      <c r="G54" s="153"/>
      <c r="H54" s="58"/>
    </row>
    <row r="55" spans="1:10" x14ac:dyDescent="0.25">
      <c r="A55" s="97"/>
      <c r="B55" s="121">
        <v>16</v>
      </c>
      <c r="C55" s="121" t="s">
        <v>416</v>
      </c>
      <c r="D55" s="121" t="str">
        <f>IF(C55="",CONCATENATE("Q_",B55,),CONCATENATE("Q_",B55,"_",C55))</f>
        <v>Q_16_a</v>
      </c>
      <c r="E55" s="122" t="str">
        <f>CONCATENATE("lab var ",D55," ","""",$F$54,": ",F55,"""")</f>
        <v>lab var Q_16_a "2 Alcoholic beverages, tobacco and narcotics: What is the reference period for data collection?"</v>
      </c>
      <c r="F55" s="123" t="s">
        <v>785</v>
      </c>
      <c r="G55" s="55" t="s">
        <v>1069</v>
      </c>
      <c r="H55" s="47" t="s">
        <v>1070</v>
      </c>
      <c r="J55" s="149" t="str">
        <f t="shared" ref="J55:J58" si="15">IF(H55=".","",170-LEN(H55))</f>
        <v/>
      </c>
    </row>
    <row r="56" spans="1:10" x14ac:dyDescent="0.25">
      <c r="A56" s="97"/>
      <c r="B56" s="121">
        <v>16</v>
      </c>
      <c r="C56" s="121" t="s">
        <v>654</v>
      </c>
      <c r="D56" s="121" t="str">
        <f>IF(C56="",CONCATENATE("Q_",B56,),CONCATENATE("Q_",B56,"_",C56))</f>
        <v>Q_16_b</v>
      </c>
      <c r="E56" s="122" t="str">
        <f t="shared" ref="E56:E58" si="16">CONCATENATE("lab var ",D56," ","""",$F$54,": ",F56,"""")</f>
        <v>lab var Q_16_b "2 Alcoholic beverages, tobacco and narcotics: Does the survey collect data on quantities?"</v>
      </c>
      <c r="F56" s="123" t="s">
        <v>786</v>
      </c>
      <c r="G56" s="49" t="s">
        <v>1069</v>
      </c>
      <c r="H56" s="47" t="s">
        <v>1070</v>
      </c>
      <c r="J56" s="149" t="str">
        <f t="shared" si="15"/>
        <v/>
      </c>
    </row>
    <row r="57" spans="1:10" x14ac:dyDescent="0.25">
      <c r="A57" s="97"/>
      <c r="B57" s="121">
        <v>16</v>
      </c>
      <c r="C57" s="121" t="s">
        <v>657</v>
      </c>
      <c r="D57" s="121" t="str">
        <f>IF(C57="",CONCATENATE("Q_",B57,),CONCATENATE("Q_",B57,"_",C57))</f>
        <v>Q_16_c</v>
      </c>
      <c r="E57" s="122" t="str">
        <f t="shared" si="16"/>
        <v>lab var Q_16_c "2 Alcoholic beverages, tobacco and narcotics: Does the survey collect data on values?"</v>
      </c>
      <c r="F57" s="123" t="s">
        <v>787</v>
      </c>
      <c r="G57" s="49" t="s">
        <v>1069</v>
      </c>
      <c r="H57" s="47" t="s">
        <v>1070</v>
      </c>
      <c r="J57" s="149" t="str">
        <f t="shared" si="15"/>
        <v/>
      </c>
    </row>
    <row r="58" spans="1:10" x14ac:dyDescent="0.25">
      <c r="A58" s="97"/>
      <c r="B58" s="121">
        <v>16</v>
      </c>
      <c r="C58" s="121" t="s">
        <v>658</v>
      </c>
      <c r="D58" s="121" t="str">
        <f>IF(C58="",CONCATENATE("Q_",B58,),CONCATENATE("Q_",B58,"_",C58))</f>
        <v>Q_16_d</v>
      </c>
      <c r="E58" s="122" t="str">
        <f t="shared" si="16"/>
        <v>lab var Q_16_d "2 Alcoholic beverages, tobacco and narcotics: Is there information on in-kind transfers to/from the household?"</v>
      </c>
      <c r="F58" s="126" t="s">
        <v>896</v>
      </c>
      <c r="G58" s="49" t="s">
        <v>1069</v>
      </c>
      <c r="H58" s="47" t="s">
        <v>1070</v>
      </c>
      <c r="J58" s="149" t="str">
        <f t="shared" si="15"/>
        <v/>
      </c>
    </row>
    <row r="59" spans="1:10" x14ac:dyDescent="0.25">
      <c r="A59" s="97"/>
      <c r="B59" s="129"/>
      <c r="C59" s="129"/>
      <c r="D59" s="129"/>
      <c r="E59" s="130"/>
      <c r="F59" s="130" t="s">
        <v>443</v>
      </c>
      <c r="G59" s="151"/>
      <c r="H59" s="58"/>
    </row>
    <row r="60" spans="1:10" x14ac:dyDescent="0.25">
      <c r="A60" s="97"/>
      <c r="B60" s="121">
        <v>17</v>
      </c>
      <c r="C60" s="121" t="s">
        <v>416</v>
      </c>
      <c r="D60" s="121" t="str">
        <f>IF(C60="",CONCATENATE("Q_",B60,),CONCATENATE("Q_",B60,"_",C60))</f>
        <v>Q_17_a</v>
      </c>
      <c r="E60" s="122" t="str">
        <f>CONCATENATE("lab var ",D60," ","""",$F$54,": ",F60,"""")</f>
        <v>lab var Q_17_a "2 Alcoholic beverages, tobacco and narcotics: What is the reference period for data collection?"</v>
      </c>
      <c r="F60" s="123" t="s">
        <v>785</v>
      </c>
      <c r="G60" s="55" t="s">
        <v>1069</v>
      </c>
      <c r="H60" s="47" t="s">
        <v>1070</v>
      </c>
      <c r="J60" s="149" t="str">
        <f t="shared" ref="J60:J63" si="17">IF(H60=".","",170-LEN(H60))</f>
        <v/>
      </c>
    </row>
    <row r="61" spans="1:10" x14ac:dyDescent="0.25">
      <c r="A61" s="97"/>
      <c r="B61" s="121">
        <v>17</v>
      </c>
      <c r="C61" s="121" t="s">
        <v>654</v>
      </c>
      <c r="D61" s="121" t="str">
        <f>IF(C61="",CONCATENATE("Q_",B61,),CONCATENATE("Q_",B61,"_",C61))</f>
        <v>Q_17_b</v>
      </c>
      <c r="E61" s="122" t="str">
        <f t="shared" ref="E61:E63" si="18">CONCATENATE("lab var ",D61," ","""",$F$54,": ",F61,"""")</f>
        <v>lab var Q_17_b "2 Alcoholic beverages, tobacco and narcotics: Does the survey collect data on quantities?"</v>
      </c>
      <c r="F61" s="123" t="s">
        <v>786</v>
      </c>
      <c r="G61" s="49" t="s">
        <v>1069</v>
      </c>
      <c r="H61" s="47" t="s">
        <v>1070</v>
      </c>
      <c r="J61" s="149" t="str">
        <f t="shared" si="17"/>
        <v/>
      </c>
    </row>
    <row r="62" spans="1:10" x14ac:dyDescent="0.25">
      <c r="A62" s="97"/>
      <c r="B62" s="121">
        <v>17</v>
      </c>
      <c r="C62" s="121" t="s">
        <v>657</v>
      </c>
      <c r="D62" s="121" t="str">
        <f>IF(C62="",CONCATENATE("Q_",B62,),CONCATENATE("Q_",B62,"_",C62))</f>
        <v>Q_17_c</v>
      </c>
      <c r="E62" s="122" t="str">
        <f t="shared" si="18"/>
        <v>lab var Q_17_c "2 Alcoholic beverages, tobacco and narcotics: Does the survey collect data on values?"</v>
      </c>
      <c r="F62" s="123" t="s">
        <v>787</v>
      </c>
      <c r="G62" s="49" t="s">
        <v>1069</v>
      </c>
      <c r="H62" s="47" t="s">
        <v>1070</v>
      </c>
      <c r="J62" s="149" t="str">
        <f t="shared" si="17"/>
        <v/>
      </c>
    </row>
    <row r="63" spans="1:10" ht="14.1" customHeight="1" x14ac:dyDescent="0.25">
      <c r="A63" s="97"/>
      <c r="B63" s="124">
        <v>17</v>
      </c>
      <c r="C63" s="124" t="s">
        <v>658</v>
      </c>
      <c r="D63" s="124" t="str">
        <f>IF(C63="",CONCATENATE("Q_",B63,),CONCATENATE("Q_",B63,"_",C63))</f>
        <v>Q_17_d</v>
      </c>
      <c r="E63" s="125" t="str">
        <f t="shared" si="18"/>
        <v>lab var Q_17_d "2 Alcoholic beverages, tobacco and narcotics: Is there information on in-kind transfers to/from the household?"</v>
      </c>
      <c r="F63" s="126" t="s">
        <v>896</v>
      </c>
      <c r="G63" s="51" t="s">
        <v>1069</v>
      </c>
      <c r="H63" s="47" t="s">
        <v>1070</v>
      </c>
      <c r="J63" s="149" t="str">
        <f t="shared" si="17"/>
        <v/>
      </c>
    </row>
    <row r="64" spans="1:10" x14ac:dyDescent="0.25">
      <c r="A64" s="97"/>
      <c r="B64" s="129"/>
      <c r="C64" s="129"/>
      <c r="D64" s="129"/>
      <c r="E64" s="130"/>
      <c r="F64" s="130" t="s">
        <v>452</v>
      </c>
      <c r="G64" s="151"/>
      <c r="H64" s="58"/>
    </row>
    <row r="65" spans="1:10" x14ac:dyDescent="0.25">
      <c r="A65" s="97"/>
      <c r="B65" s="121">
        <v>18</v>
      </c>
      <c r="C65" s="121" t="s">
        <v>416</v>
      </c>
      <c r="D65" s="121" t="str">
        <f>IF(C65="",CONCATENATE("Q_",B65,),CONCATENATE("Q_",B65,"_",C65))</f>
        <v>Q_18_a</v>
      </c>
      <c r="E65" s="122" t="str">
        <f>CONCATENATE("lab var ",D65," ","""",$F$54,": ",F65,"""")</f>
        <v>lab var Q_18_a "2 Alcoholic beverages, tobacco and narcotics: What is the reference period for data collection?"</v>
      </c>
      <c r="F65" s="123" t="s">
        <v>785</v>
      </c>
      <c r="G65" s="55" t="s">
        <v>1069</v>
      </c>
      <c r="H65" s="47" t="s">
        <v>1070</v>
      </c>
      <c r="J65" s="149" t="str">
        <f t="shared" ref="J65:J68" si="19">IF(H65=".","",170-LEN(H65))</f>
        <v/>
      </c>
    </row>
    <row r="66" spans="1:10" x14ac:dyDescent="0.25">
      <c r="A66" s="97"/>
      <c r="B66" s="121">
        <v>18</v>
      </c>
      <c r="C66" s="121" t="s">
        <v>654</v>
      </c>
      <c r="D66" s="121" t="str">
        <f>IF(C66="",CONCATENATE("Q_",B66,),CONCATENATE("Q_",B66,"_",C66))</f>
        <v>Q_18_b</v>
      </c>
      <c r="E66" s="122" t="str">
        <f t="shared" ref="E66:E68" si="20">CONCATENATE("lab var ",D66," ","""",$F$54,": ",F66,"""")</f>
        <v>lab var Q_18_b "2 Alcoholic beverages, tobacco and narcotics: Does the survey collect data on quantities?"</v>
      </c>
      <c r="F66" s="123" t="s">
        <v>786</v>
      </c>
      <c r="G66" s="49" t="s">
        <v>1069</v>
      </c>
      <c r="H66" s="47" t="s">
        <v>1070</v>
      </c>
      <c r="J66" s="149" t="str">
        <f t="shared" si="19"/>
        <v/>
      </c>
    </row>
    <row r="67" spans="1:10" x14ac:dyDescent="0.25">
      <c r="A67" s="97"/>
      <c r="B67" s="121">
        <v>18</v>
      </c>
      <c r="C67" s="121" t="s">
        <v>657</v>
      </c>
      <c r="D67" s="121" t="str">
        <f>IF(C67="",CONCATENATE("Q_",B67,),CONCATENATE("Q_",B67,"_",C67))</f>
        <v>Q_18_c</v>
      </c>
      <c r="E67" s="122" t="str">
        <f t="shared" si="20"/>
        <v>lab var Q_18_c "2 Alcoholic beverages, tobacco and narcotics: Does the survey collect data on values?"</v>
      </c>
      <c r="F67" s="123" t="s">
        <v>787</v>
      </c>
      <c r="G67" s="49" t="s">
        <v>1069</v>
      </c>
      <c r="H67" s="47" t="s">
        <v>1070</v>
      </c>
      <c r="J67" s="149" t="str">
        <f t="shared" si="19"/>
        <v/>
      </c>
    </row>
    <row r="68" spans="1:10" x14ac:dyDescent="0.25">
      <c r="A68" s="97"/>
      <c r="B68" s="124">
        <v>18</v>
      </c>
      <c r="C68" s="124" t="s">
        <v>658</v>
      </c>
      <c r="D68" s="124" t="str">
        <f>IF(C68="",CONCATENATE("Q_",B68,),CONCATENATE("Q_",B68,"_",C68))</f>
        <v>Q_18_d</v>
      </c>
      <c r="E68" s="125" t="str">
        <f t="shared" si="20"/>
        <v>lab var Q_18_d "2 Alcoholic beverages, tobacco and narcotics: Is there information on in-kind transfers to/from the household?"</v>
      </c>
      <c r="F68" s="126" t="s">
        <v>896</v>
      </c>
      <c r="G68" s="51" t="s">
        <v>1069</v>
      </c>
      <c r="H68" s="47" t="s">
        <v>1070</v>
      </c>
      <c r="J68" s="149" t="str">
        <f t="shared" si="19"/>
        <v/>
      </c>
    </row>
    <row r="69" spans="1:10" x14ac:dyDescent="0.25">
      <c r="A69" s="97"/>
      <c r="B69" s="129"/>
      <c r="C69" s="129"/>
      <c r="D69" s="129"/>
      <c r="E69" s="130"/>
      <c r="F69" s="130" t="s">
        <v>473</v>
      </c>
      <c r="G69" s="151"/>
      <c r="H69" s="58"/>
    </row>
    <row r="70" spans="1:10" x14ac:dyDescent="0.25">
      <c r="A70" s="97"/>
      <c r="B70" s="121">
        <v>19</v>
      </c>
      <c r="C70" s="121" t="s">
        <v>416</v>
      </c>
      <c r="D70" s="121" t="str">
        <f>IF(C70="",CONCATENATE("Q_",B70,),CONCATENATE("Q_",B70,"_",C70))</f>
        <v>Q_19_a</v>
      </c>
      <c r="E70" s="122" t="str">
        <f>CONCATENATE("lab var ",D70," ","""",$F$54,": ",F70,"""")</f>
        <v>lab var Q_19_a "2 Alcoholic beverages, tobacco and narcotics: What is the reference period for data collection?"</v>
      </c>
      <c r="F70" s="123" t="s">
        <v>785</v>
      </c>
      <c r="G70" s="55" t="s">
        <v>1069</v>
      </c>
      <c r="H70" s="47" t="s">
        <v>1070</v>
      </c>
      <c r="J70" s="149" t="str">
        <f t="shared" ref="J70:J73" si="21">IF(H70=".","",170-LEN(H70))</f>
        <v/>
      </c>
    </row>
    <row r="71" spans="1:10" x14ac:dyDescent="0.25">
      <c r="A71" s="97"/>
      <c r="B71" s="121">
        <v>19</v>
      </c>
      <c r="C71" s="121" t="s">
        <v>654</v>
      </c>
      <c r="D71" s="121" t="str">
        <f>IF(C71="",CONCATENATE("Q_",B71,),CONCATENATE("Q_",B71,"_",C71))</f>
        <v>Q_19_b</v>
      </c>
      <c r="E71" s="122" t="str">
        <f t="shared" ref="E71:E73" si="22">CONCATENATE("lab var ",D71," ","""",$F$54,": ",F71,"""")</f>
        <v>lab var Q_19_b "2 Alcoholic beverages, tobacco and narcotics: Does the survey collect data on quantities?"</v>
      </c>
      <c r="F71" s="123" t="s">
        <v>786</v>
      </c>
      <c r="G71" s="49" t="s">
        <v>1069</v>
      </c>
      <c r="H71" s="47" t="s">
        <v>1070</v>
      </c>
      <c r="J71" s="149" t="str">
        <f t="shared" si="21"/>
        <v/>
      </c>
    </row>
    <row r="72" spans="1:10" x14ac:dyDescent="0.25">
      <c r="A72" s="97"/>
      <c r="B72" s="121">
        <v>19</v>
      </c>
      <c r="C72" s="121" t="s">
        <v>657</v>
      </c>
      <c r="D72" s="121" t="str">
        <f>IF(C72="",CONCATENATE("Q_",B72,),CONCATENATE("Q_",B72,"_",C72))</f>
        <v>Q_19_c</v>
      </c>
      <c r="E72" s="122" t="str">
        <f t="shared" si="22"/>
        <v>lab var Q_19_c "2 Alcoholic beverages, tobacco and narcotics: Does the survey collect data on values?"</v>
      </c>
      <c r="F72" s="123" t="s">
        <v>787</v>
      </c>
      <c r="G72" s="49" t="s">
        <v>1069</v>
      </c>
      <c r="H72" s="47" t="s">
        <v>1070</v>
      </c>
      <c r="J72" s="149" t="str">
        <f t="shared" si="21"/>
        <v/>
      </c>
    </row>
    <row r="73" spans="1:10" x14ac:dyDescent="0.25">
      <c r="A73" s="97"/>
      <c r="B73" s="124">
        <v>19</v>
      </c>
      <c r="C73" s="124" t="s">
        <v>658</v>
      </c>
      <c r="D73" s="124" t="str">
        <f>IF(C73="",CONCATENATE("Q_",B73,),CONCATENATE("Q_",B73,"_",C73))</f>
        <v>Q_19_d</v>
      </c>
      <c r="E73" s="125" t="str">
        <f t="shared" si="22"/>
        <v>lab var Q_19_d "2 Alcoholic beverages, tobacco and narcotics: Is there information on in-kind transfers to/from the household?"</v>
      </c>
      <c r="F73" s="126" t="s">
        <v>896</v>
      </c>
      <c r="G73" s="51" t="s">
        <v>1069</v>
      </c>
      <c r="H73" s="47" t="s">
        <v>1070</v>
      </c>
      <c r="J73" s="149" t="str">
        <f t="shared" si="21"/>
        <v/>
      </c>
    </row>
    <row r="74" spans="1:10" x14ac:dyDescent="0.25">
      <c r="A74" s="97"/>
      <c r="B74" s="129"/>
      <c r="C74" s="129"/>
      <c r="D74" s="129"/>
      <c r="E74" s="130"/>
      <c r="F74" s="130" t="s">
        <v>492</v>
      </c>
      <c r="G74" s="151"/>
      <c r="H74" s="58"/>
    </row>
    <row r="75" spans="1:10" x14ac:dyDescent="0.25">
      <c r="A75" s="97"/>
      <c r="B75" s="121">
        <v>20</v>
      </c>
      <c r="C75" s="121" t="s">
        <v>416</v>
      </c>
      <c r="D75" s="121" t="str">
        <f>IF(C75="",CONCATENATE("Q_",B75,),CONCATENATE("Q_",B75,"_",C75))</f>
        <v>Q_20_a</v>
      </c>
      <c r="E75" s="122" t="str">
        <f>CONCATENATE("lab var ",D75," ","""",$F$54,": ",F75,"""")</f>
        <v>lab var Q_20_a "2 Alcoholic beverages, tobacco and narcotics: What is the reference period for data collection?"</v>
      </c>
      <c r="F75" s="123" t="s">
        <v>785</v>
      </c>
      <c r="G75" s="55" t="s">
        <v>1069</v>
      </c>
      <c r="H75" s="47" t="s">
        <v>1070</v>
      </c>
      <c r="I75" s="94" t="s">
        <v>899</v>
      </c>
      <c r="J75" s="149" t="str">
        <f t="shared" ref="J75:J78" si="23">IF(H75=".","",170-LEN(H75))</f>
        <v/>
      </c>
    </row>
    <row r="76" spans="1:10" x14ac:dyDescent="0.25">
      <c r="A76" s="97"/>
      <c r="B76" s="121">
        <v>20</v>
      </c>
      <c r="C76" s="121" t="s">
        <v>654</v>
      </c>
      <c r="D76" s="121" t="str">
        <f>IF(C76="",CONCATENATE("Q_",B76,),CONCATENATE("Q_",B76,"_",C76))</f>
        <v>Q_20_b</v>
      </c>
      <c r="E76" s="122" t="str">
        <f t="shared" ref="E76:E78" si="24">CONCATENATE("lab var ",D76," ","""",$F$54,": ",F76,"""")</f>
        <v>lab var Q_20_b "2 Alcoholic beverages, tobacco and narcotics: Does the survey collect data on quantities?"</v>
      </c>
      <c r="F76" s="123" t="s">
        <v>786</v>
      </c>
      <c r="G76" s="49" t="s">
        <v>1069</v>
      </c>
      <c r="H76" s="47" t="s">
        <v>1070</v>
      </c>
      <c r="I76" s="94" t="s">
        <v>899</v>
      </c>
      <c r="J76" s="149" t="str">
        <f t="shared" si="23"/>
        <v/>
      </c>
    </row>
    <row r="77" spans="1:10" x14ac:dyDescent="0.25">
      <c r="A77" s="97"/>
      <c r="B77" s="121">
        <v>20</v>
      </c>
      <c r="C77" s="121" t="s">
        <v>657</v>
      </c>
      <c r="D77" s="121" t="str">
        <f>IF(C77="",CONCATENATE("Q_",B77,),CONCATENATE("Q_",B77,"_",C77))</f>
        <v>Q_20_c</v>
      </c>
      <c r="E77" s="122" t="str">
        <f t="shared" si="24"/>
        <v>lab var Q_20_c "2 Alcoholic beverages, tobacco and narcotics: Does the survey collect data on values?"</v>
      </c>
      <c r="F77" s="123" t="s">
        <v>787</v>
      </c>
      <c r="G77" s="49" t="s">
        <v>1069</v>
      </c>
      <c r="H77" s="47" t="s">
        <v>1070</v>
      </c>
      <c r="I77" s="94" t="s">
        <v>899</v>
      </c>
      <c r="J77" s="149" t="str">
        <f t="shared" si="23"/>
        <v/>
      </c>
    </row>
    <row r="78" spans="1:10" x14ac:dyDescent="0.25">
      <c r="A78" s="97"/>
      <c r="B78" s="124">
        <v>20</v>
      </c>
      <c r="C78" s="124" t="s">
        <v>658</v>
      </c>
      <c r="D78" s="124" t="str">
        <f>IF(C78="",CONCATENATE("Q_",B78,),CONCATENATE("Q_",B78,"_",C78))</f>
        <v>Q_20_d</v>
      </c>
      <c r="E78" s="125" t="str">
        <f t="shared" si="24"/>
        <v>lab var Q_20_d "2 Alcoholic beverages, tobacco and narcotics: Is there information on in-kind transfers to/from the household?"</v>
      </c>
      <c r="F78" s="126" t="s">
        <v>896</v>
      </c>
      <c r="G78" s="51" t="s">
        <v>1069</v>
      </c>
      <c r="H78" s="47" t="s">
        <v>1070</v>
      </c>
      <c r="I78" s="94" t="s">
        <v>899</v>
      </c>
      <c r="J78" s="149" t="str">
        <f t="shared" si="23"/>
        <v/>
      </c>
    </row>
    <row r="79" spans="1:10" x14ac:dyDescent="0.25">
      <c r="A79" s="97"/>
      <c r="B79" s="129"/>
      <c r="C79" s="129"/>
      <c r="D79" s="129"/>
      <c r="E79" s="130"/>
      <c r="F79" s="130" t="s">
        <v>503</v>
      </c>
      <c r="G79" s="151"/>
      <c r="H79" s="58"/>
    </row>
    <row r="80" spans="1:10" x14ac:dyDescent="0.25">
      <c r="A80" s="97"/>
      <c r="B80" s="121">
        <v>21</v>
      </c>
      <c r="C80" s="121" t="s">
        <v>416</v>
      </c>
      <c r="D80" s="121" t="str">
        <f>IF(C80="",CONCATENATE("Q_",B80,),CONCATENATE("Q_",B80,"_",C80))</f>
        <v>Q_21_a</v>
      </c>
      <c r="E80" s="122" t="str">
        <f>CONCATENATE("lab var ",D80," ","""",$F$54,": ",F80,"""")</f>
        <v>lab var Q_21_a "2 Alcoholic beverages, tobacco and narcotics: What is the reference period for data collection?"</v>
      </c>
      <c r="F80" s="123" t="s">
        <v>785</v>
      </c>
      <c r="G80" s="55" t="s">
        <v>1069</v>
      </c>
      <c r="H80" s="47" t="s">
        <v>1070</v>
      </c>
      <c r="J80" s="149" t="str">
        <f t="shared" ref="J80:J83" si="25">IF(H80=".","",170-LEN(H80))</f>
        <v/>
      </c>
    </row>
    <row r="81" spans="1:10" x14ac:dyDescent="0.25">
      <c r="A81" s="97"/>
      <c r="B81" s="121">
        <v>21</v>
      </c>
      <c r="C81" s="121" t="s">
        <v>654</v>
      </c>
      <c r="D81" s="121" t="str">
        <f>IF(C81="",CONCATENATE("Q_",B81,),CONCATENATE("Q_",B81,"_",C81))</f>
        <v>Q_21_b</v>
      </c>
      <c r="E81" s="122" t="str">
        <f t="shared" ref="E81:E83" si="26">CONCATENATE("lab var ",D81," ","""",$F$54,": ",F81,"""")</f>
        <v>lab var Q_21_b "2 Alcoholic beverages, tobacco and narcotics: Does the survey collect data on quantities?"</v>
      </c>
      <c r="F81" s="123" t="s">
        <v>786</v>
      </c>
      <c r="G81" s="49" t="s">
        <v>1069</v>
      </c>
      <c r="H81" s="47" t="s">
        <v>1070</v>
      </c>
      <c r="J81" s="149" t="str">
        <f t="shared" si="25"/>
        <v/>
      </c>
    </row>
    <row r="82" spans="1:10" x14ac:dyDescent="0.25">
      <c r="A82" s="97"/>
      <c r="B82" s="121">
        <v>21</v>
      </c>
      <c r="C82" s="121" t="s">
        <v>657</v>
      </c>
      <c r="D82" s="121" t="str">
        <f>IF(C82="",CONCATENATE("Q_",B82,),CONCATENATE("Q_",B82,"_",C82))</f>
        <v>Q_21_c</v>
      </c>
      <c r="E82" s="122" t="str">
        <f t="shared" si="26"/>
        <v>lab var Q_21_c "2 Alcoholic beverages, tobacco and narcotics: Does the survey collect data on values?"</v>
      </c>
      <c r="F82" s="123" t="s">
        <v>787</v>
      </c>
      <c r="G82" s="49" t="s">
        <v>1069</v>
      </c>
      <c r="H82" s="47" t="s">
        <v>1070</v>
      </c>
      <c r="J82" s="149" t="str">
        <f t="shared" si="25"/>
        <v/>
      </c>
    </row>
    <row r="83" spans="1:10" x14ac:dyDescent="0.25">
      <c r="A83" s="97"/>
      <c r="B83" s="124">
        <v>21</v>
      </c>
      <c r="C83" s="124" t="s">
        <v>658</v>
      </c>
      <c r="D83" s="124" t="str">
        <f>IF(C83="",CONCATENATE("Q_",B83,),CONCATENATE("Q_",B83,"_",C83))</f>
        <v>Q_21_d</v>
      </c>
      <c r="E83" s="125" t="str">
        <f t="shared" si="26"/>
        <v>lab var Q_21_d "2 Alcoholic beverages, tobacco and narcotics: Is there information on in-kind transfers to/from the household?"</v>
      </c>
      <c r="F83" s="126" t="s">
        <v>896</v>
      </c>
      <c r="G83" s="51" t="s">
        <v>1069</v>
      </c>
      <c r="H83" s="47" t="s">
        <v>1070</v>
      </c>
      <c r="J83" s="149" t="str">
        <f t="shared" si="25"/>
        <v/>
      </c>
    </row>
    <row r="84" spans="1:10" x14ac:dyDescent="0.25">
      <c r="A84" s="97"/>
      <c r="B84" s="129"/>
      <c r="C84" s="129"/>
      <c r="D84" s="129"/>
      <c r="E84" s="130"/>
      <c r="F84" s="130" t="s">
        <v>521</v>
      </c>
      <c r="G84" s="151"/>
      <c r="H84" s="58"/>
    </row>
    <row r="85" spans="1:10" x14ac:dyDescent="0.25">
      <c r="A85" s="97"/>
      <c r="B85" s="121">
        <v>22</v>
      </c>
      <c r="C85" s="121" t="s">
        <v>416</v>
      </c>
      <c r="D85" s="121" t="str">
        <f>IF(C85="",CONCATENATE("Q_",B85,),CONCATENATE("Q_",B85,"_",C85))</f>
        <v>Q_22_a</v>
      </c>
      <c r="E85" s="122" t="str">
        <f>CONCATENATE("lab var ",D85," ","""",$F$54,": ",F85,"""")</f>
        <v>lab var Q_22_a "2 Alcoholic beverages, tobacco and narcotics: What is the reference period for data collection?"</v>
      </c>
      <c r="F85" s="123" t="s">
        <v>785</v>
      </c>
      <c r="G85" s="55" t="s">
        <v>1069</v>
      </c>
      <c r="H85" s="47" t="s">
        <v>1070</v>
      </c>
      <c r="J85" s="149" t="str">
        <f t="shared" ref="J85:J88" si="27">IF(H85=".","",170-LEN(H85))</f>
        <v/>
      </c>
    </row>
    <row r="86" spans="1:10" x14ac:dyDescent="0.25">
      <c r="A86" s="97"/>
      <c r="B86" s="121">
        <v>22</v>
      </c>
      <c r="C86" s="121" t="s">
        <v>654</v>
      </c>
      <c r="D86" s="121" t="str">
        <f>IF(C86="",CONCATENATE("Q_",B86,),CONCATENATE("Q_",B86,"_",C86))</f>
        <v>Q_22_b</v>
      </c>
      <c r="E86" s="122" t="str">
        <f t="shared" ref="E86:E88" si="28">CONCATENATE("lab var ",D86," ","""",$F$54,": ",F86,"""")</f>
        <v>lab var Q_22_b "2 Alcoholic beverages, tobacco and narcotics: Does the survey collect data on quantities?"</v>
      </c>
      <c r="F86" s="123" t="s">
        <v>786</v>
      </c>
      <c r="G86" s="49" t="s">
        <v>1069</v>
      </c>
      <c r="H86" s="47" t="s">
        <v>1070</v>
      </c>
      <c r="J86" s="149" t="str">
        <f t="shared" si="27"/>
        <v/>
      </c>
    </row>
    <row r="87" spans="1:10" x14ac:dyDescent="0.25">
      <c r="A87" s="97"/>
      <c r="B87" s="121">
        <v>22</v>
      </c>
      <c r="C87" s="121" t="s">
        <v>657</v>
      </c>
      <c r="D87" s="121" t="str">
        <f>IF(C87="",CONCATENATE("Q_",B87,),CONCATENATE("Q_",B87,"_",C87))</f>
        <v>Q_22_c</v>
      </c>
      <c r="E87" s="122" t="str">
        <f t="shared" si="28"/>
        <v>lab var Q_22_c "2 Alcoholic beverages, tobacco and narcotics: Does the survey collect data on values?"</v>
      </c>
      <c r="F87" s="123" t="s">
        <v>787</v>
      </c>
      <c r="G87" s="49" t="s">
        <v>1069</v>
      </c>
      <c r="H87" s="47" t="s">
        <v>1070</v>
      </c>
      <c r="J87" s="149" t="str">
        <f t="shared" si="27"/>
        <v/>
      </c>
    </row>
    <row r="88" spans="1:10" x14ac:dyDescent="0.25">
      <c r="A88" s="97"/>
      <c r="B88" s="124">
        <v>22</v>
      </c>
      <c r="C88" s="124" t="s">
        <v>658</v>
      </c>
      <c r="D88" s="124" t="str">
        <f>IF(C88="",CONCATENATE("Q_",B88,),CONCATENATE("Q_",B88,"_",C88))</f>
        <v>Q_22_d</v>
      </c>
      <c r="E88" s="125" t="str">
        <f t="shared" si="28"/>
        <v>lab var Q_22_d "2 Alcoholic beverages, tobacco and narcotics: Is there information on in-kind transfers to/from the household?"</v>
      </c>
      <c r="F88" s="126" t="s">
        <v>896</v>
      </c>
      <c r="G88" s="51" t="s">
        <v>1069</v>
      </c>
      <c r="H88" s="47" t="s">
        <v>1070</v>
      </c>
      <c r="J88" s="149" t="str">
        <f t="shared" si="27"/>
        <v/>
      </c>
    </row>
    <row r="89" spans="1:10" x14ac:dyDescent="0.25">
      <c r="A89" s="97"/>
      <c r="B89" s="129"/>
      <c r="C89" s="129"/>
      <c r="D89" s="129"/>
      <c r="E89" s="130"/>
      <c r="F89" s="130" t="s">
        <v>528</v>
      </c>
      <c r="G89" s="151"/>
      <c r="H89" s="58"/>
    </row>
    <row r="90" spans="1:10" x14ac:dyDescent="0.25">
      <c r="A90" s="97"/>
      <c r="B90" s="121">
        <v>23</v>
      </c>
      <c r="C90" s="121" t="s">
        <v>416</v>
      </c>
      <c r="D90" s="121" t="str">
        <f>IF(C90="",CONCATENATE("Q_",B90,),CONCATENATE("Q_",B90,"_",C90))</f>
        <v>Q_23_a</v>
      </c>
      <c r="E90" s="122" t="str">
        <f>CONCATENATE("lab var ",D90," ","""",$F$54,": ",F90,"""")</f>
        <v>lab var Q_23_a "2 Alcoholic beverages, tobacco and narcotics: What is the reference period for data collection?"</v>
      </c>
      <c r="F90" s="123" t="s">
        <v>785</v>
      </c>
      <c r="G90" s="55" t="s">
        <v>1069</v>
      </c>
      <c r="H90" s="47" t="s">
        <v>1070</v>
      </c>
      <c r="J90" s="149" t="str">
        <f t="shared" ref="J90:J93" si="29">IF(H90=".","",170-LEN(H90))</f>
        <v/>
      </c>
    </row>
    <row r="91" spans="1:10" x14ac:dyDescent="0.25">
      <c r="A91" s="97"/>
      <c r="B91" s="121">
        <v>23</v>
      </c>
      <c r="C91" s="121" t="s">
        <v>654</v>
      </c>
      <c r="D91" s="121" t="str">
        <f>IF(C91="",CONCATENATE("Q_",B91,),CONCATENATE("Q_",B91,"_",C91))</f>
        <v>Q_23_b</v>
      </c>
      <c r="E91" s="122" t="str">
        <f t="shared" ref="E91:E93" si="30">CONCATENATE("lab var ",D91," ","""",$F$54,": ",F91,"""")</f>
        <v>lab var Q_23_b "2 Alcoholic beverages, tobacco and narcotics: Does the survey collect data on quantities?"</v>
      </c>
      <c r="F91" s="123" t="s">
        <v>786</v>
      </c>
      <c r="G91" s="49" t="s">
        <v>1069</v>
      </c>
      <c r="H91" s="47" t="s">
        <v>1070</v>
      </c>
      <c r="J91" s="149" t="str">
        <f t="shared" si="29"/>
        <v/>
      </c>
    </row>
    <row r="92" spans="1:10" x14ac:dyDescent="0.25">
      <c r="A92" s="97"/>
      <c r="B92" s="121">
        <v>23</v>
      </c>
      <c r="C92" s="121" t="s">
        <v>657</v>
      </c>
      <c r="D92" s="121" t="str">
        <f>IF(C92="",CONCATENATE("Q_",B92,),CONCATENATE("Q_",B92,"_",C92))</f>
        <v>Q_23_c</v>
      </c>
      <c r="E92" s="122" t="str">
        <f t="shared" si="30"/>
        <v>lab var Q_23_c "2 Alcoholic beverages, tobacco and narcotics: Does the survey collect data on values?"</v>
      </c>
      <c r="F92" s="123" t="s">
        <v>787</v>
      </c>
      <c r="G92" s="49" t="s">
        <v>1069</v>
      </c>
      <c r="H92" s="47" t="s">
        <v>1070</v>
      </c>
      <c r="J92" s="149" t="str">
        <f t="shared" si="29"/>
        <v/>
      </c>
    </row>
    <row r="93" spans="1:10" x14ac:dyDescent="0.25">
      <c r="A93" s="97"/>
      <c r="B93" s="124">
        <v>23</v>
      </c>
      <c r="C93" s="124" t="s">
        <v>658</v>
      </c>
      <c r="D93" s="124" t="str">
        <f>IF(C93="",CONCATENATE("Q_",B93,),CONCATENATE("Q_",B93,"_",C93))</f>
        <v>Q_23_d</v>
      </c>
      <c r="E93" s="125" t="str">
        <f t="shared" si="30"/>
        <v>lab var Q_23_d "2 Alcoholic beverages, tobacco and narcotics: Is there information on in-kind transfers to/from the household?"</v>
      </c>
      <c r="F93" s="126" t="s">
        <v>896</v>
      </c>
      <c r="G93" s="51" t="s">
        <v>1069</v>
      </c>
      <c r="H93" s="47" t="s">
        <v>1070</v>
      </c>
      <c r="J93" s="149" t="str">
        <f t="shared" si="29"/>
        <v/>
      </c>
    </row>
    <row r="94" spans="1:10" x14ac:dyDescent="0.25">
      <c r="A94" s="97"/>
      <c r="B94" s="129"/>
      <c r="C94" s="129"/>
      <c r="D94" s="129"/>
      <c r="E94" s="130"/>
      <c r="F94" s="130" t="s">
        <v>556</v>
      </c>
      <c r="G94" s="151"/>
      <c r="H94" s="58"/>
    </row>
    <row r="95" spans="1:10" x14ac:dyDescent="0.25">
      <c r="A95" s="97"/>
      <c r="B95" s="121">
        <v>24</v>
      </c>
      <c r="C95" s="121" t="s">
        <v>416</v>
      </c>
      <c r="D95" s="121" t="str">
        <f>IF(C95="",CONCATENATE("Q_",B95,),CONCATENATE("Q_",B95,"_",C95))</f>
        <v>Q_24_a</v>
      </c>
      <c r="E95" s="122" t="str">
        <f>CONCATENATE("lab var ",D95," ","""",$F$54,": ",F95,"""")</f>
        <v>lab var Q_24_a "2 Alcoholic beverages, tobacco and narcotics: What is the reference period for data collection?"</v>
      </c>
      <c r="F95" s="123" t="s">
        <v>785</v>
      </c>
      <c r="G95" s="55" t="s">
        <v>1069</v>
      </c>
      <c r="H95" s="47" t="s">
        <v>1070</v>
      </c>
      <c r="I95" s="94" t="s">
        <v>898</v>
      </c>
      <c r="J95" s="149" t="str">
        <f t="shared" ref="J95:J98" si="31">IF(H95=".","",170-LEN(H95))</f>
        <v/>
      </c>
    </row>
    <row r="96" spans="1:10" x14ac:dyDescent="0.25">
      <c r="A96" s="97"/>
      <c r="B96" s="121">
        <v>24</v>
      </c>
      <c r="C96" s="121" t="s">
        <v>654</v>
      </c>
      <c r="D96" s="121" t="str">
        <f>IF(C96="",CONCATENATE("Q_",B96,),CONCATENATE("Q_",B96,"_",C96))</f>
        <v>Q_24_b</v>
      </c>
      <c r="E96" s="122" t="str">
        <f t="shared" ref="E96:E98" si="32">CONCATENATE("lab var ",D96," ","""",$F$54,": ",F96,"""")</f>
        <v>lab var Q_24_b "2 Alcoholic beverages, tobacco and narcotics: Does the survey collect data on quantities?"</v>
      </c>
      <c r="F96" s="123" t="s">
        <v>786</v>
      </c>
      <c r="G96" s="49" t="s">
        <v>1069</v>
      </c>
      <c r="H96" s="47" t="s">
        <v>1070</v>
      </c>
      <c r="I96" s="94" t="s">
        <v>898</v>
      </c>
      <c r="J96" s="149" t="str">
        <f t="shared" si="31"/>
        <v/>
      </c>
    </row>
    <row r="97" spans="1:10" x14ac:dyDescent="0.25">
      <c r="A97" s="97"/>
      <c r="B97" s="121">
        <v>24</v>
      </c>
      <c r="C97" s="121" t="s">
        <v>657</v>
      </c>
      <c r="D97" s="121" t="str">
        <f>IF(C97="",CONCATENATE("Q_",B97,),CONCATENATE("Q_",B97,"_",C97))</f>
        <v>Q_24_c</v>
      </c>
      <c r="E97" s="122" t="str">
        <f t="shared" si="32"/>
        <v>lab var Q_24_c "2 Alcoholic beverages, tobacco and narcotics: Does the survey collect data on values?"</v>
      </c>
      <c r="F97" s="123" t="s">
        <v>787</v>
      </c>
      <c r="G97" s="49" t="s">
        <v>1069</v>
      </c>
      <c r="H97" s="47" t="s">
        <v>1070</v>
      </c>
      <c r="I97" s="94" t="s">
        <v>898</v>
      </c>
      <c r="J97" s="149" t="str">
        <f t="shared" si="31"/>
        <v/>
      </c>
    </row>
    <row r="98" spans="1:10" x14ac:dyDescent="0.25">
      <c r="A98" s="97"/>
      <c r="B98" s="124">
        <v>24</v>
      </c>
      <c r="C98" s="124" t="s">
        <v>658</v>
      </c>
      <c r="D98" s="124" t="str">
        <f>IF(C98="",CONCATENATE("Q_",B98,),CONCATENATE("Q_",B98,"_",C98))</f>
        <v>Q_24_d</v>
      </c>
      <c r="E98" s="125" t="str">
        <f t="shared" si="32"/>
        <v>lab var Q_24_d "2 Alcoholic beverages, tobacco and narcotics: Is there information on in-kind transfers to/from the household?"</v>
      </c>
      <c r="F98" s="126" t="s">
        <v>896</v>
      </c>
      <c r="G98" s="51" t="s">
        <v>1069</v>
      </c>
      <c r="H98" s="47" t="s">
        <v>1070</v>
      </c>
      <c r="I98" s="94" t="s">
        <v>898</v>
      </c>
      <c r="J98" s="149" t="str">
        <f t="shared" si="31"/>
        <v/>
      </c>
    </row>
    <row r="99" spans="1:10" x14ac:dyDescent="0.25">
      <c r="A99" s="97"/>
      <c r="B99" s="129"/>
      <c r="C99" s="129"/>
      <c r="D99" s="129"/>
      <c r="E99" s="130"/>
      <c r="F99" s="130" t="s">
        <v>567</v>
      </c>
      <c r="G99" s="151"/>
      <c r="H99" s="58"/>
    </row>
    <row r="100" spans="1:10" x14ac:dyDescent="0.25">
      <c r="A100" s="97"/>
      <c r="B100" s="121">
        <v>25</v>
      </c>
      <c r="C100" s="121" t="s">
        <v>416</v>
      </c>
      <c r="D100" s="121" t="str">
        <f>IF(C100="",CONCATENATE("Q_",B100,),CONCATENATE("Q_",B100,"_",C100))</f>
        <v>Q_25_a</v>
      </c>
      <c r="E100" s="122" t="str">
        <f>CONCATENATE("lab var ",D100," ","""",$F$54,": ",F100,"""")</f>
        <v>lab var Q_25_a "2 Alcoholic beverages, tobacco and narcotics: What is the reference period for data collection?"</v>
      </c>
      <c r="F100" s="123" t="s">
        <v>785</v>
      </c>
      <c r="G100" s="55" t="s">
        <v>1069</v>
      </c>
      <c r="H100" s="47" t="s">
        <v>1070</v>
      </c>
      <c r="J100" s="149" t="str">
        <f t="shared" ref="J100:J103" si="33">IF(H100=".","",170-LEN(H100))</f>
        <v/>
      </c>
    </row>
    <row r="101" spans="1:10" x14ac:dyDescent="0.25">
      <c r="A101" s="97"/>
      <c r="B101" s="121">
        <v>25</v>
      </c>
      <c r="C101" s="121" t="s">
        <v>654</v>
      </c>
      <c r="D101" s="121" t="str">
        <f>IF(C101="",CONCATENATE("Q_",B101,),CONCATENATE("Q_",B101,"_",C101))</f>
        <v>Q_25_b</v>
      </c>
      <c r="E101" s="122" t="str">
        <f t="shared" ref="E101:E103" si="34">CONCATENATE("lab var ",D101," ","""",$F$54,": ",F101,"""")</f>
        <v>lab var Q_25_b "2 Alcoholic beverages, tobacco and narcotics: Does the survey collect data on quantities?"</v>
      </c>
      <c r="F101" s="123" t="s">
        <v>786</v>
      </c>
      <c r="G101" s="49" t="s">
        <v>1069</v>
      </c>
      <c r="H101" s="47" t="s">
        <v>1070</v>
      </c>
      <c r="J101" s="149" t="str">
        <f t="shared" si="33"/>
        <v/>
      </c>
    </row>
    <row r="102" spans="1:10" x14ac:dyDescent="0.25">
      <c r="A102" s="97"/>
      <c r="B102" s="121">
        <v>25</v>
      </c>
      <c r="C102" s="121" t="s">
        <v>657</v>
      </c>
      <c r="D102" s="121" t="str">
        <f>IF(C102="",CONCATENATE("Q_",B102,),CONCATENATE("Q_",B102,"_",C102))</f>
        <v>Q_25_c</v>
      </c>
      <c r="E102" s="122" t="str">
        <f t="shared" si="34"/>
        <v>lab var Q_25_c "2 Alcoholic beverages, tobacco and narcotics: Does the survey collect data on values?"</v>
      </c>
      <c r="F102" s="123" t="s">
        <v>787</v>
      </c>
      <c r="G102" s="49" t="s">
        <v>1069</v>
      </c>
      <c r="H102" s="47" t="s">
        <v>1070</v>
      </c>
      <c r="J102" s="149" t="str">
        <f t="shared" si="33"/>
        <v/>
      </c>
    </row>
    <row r="103" spans="1:10" x14ac:dyDescent="0.25">
      <c r="A103" s="97"/>
      <c r="B103" s="124">
        <v>25</v>
      </c>
      <c r="C103" s="124" t="s">
        <v>658</v>
      </c>
      <c r="D103" s="124" t="str">
        <f>IF(C103="",CONCATENATE("Q_",B103,),CONCATENATE("Q_",B103,"_",C103))</f>
        <v>Q_25_d</v>
      </c>
      <c r="E103" s="125" t="str">
        <f t="shared" si="34"/>
        <v>lab var Q_25_d "2 Alcoholic beverages, tobacco and narcotics: Is there information on in-kind transfers to/from the household?"</v>
      </c>
      <c r="F103" s="126" t="s">
        <v>896</v>
      </c>
      <c r="G103" s="51" t="s">
        <v>1069</v>
      </c>
      <c r="H103" s="47" t="s">
        <v>1070</v>
      </c>
      <c r="J103" s="149" t="str">
        <f t="shared" si="33"/>
        <v/>
      </c>
    </row>
    <row r="104" spans="1:10" x14ac:dyDescent="0.25">
      <c r="A104" s="97"/>
      <c r="B104" s="129"/>
      <c r="C104" s="129"/>
      <c r="D104" s="129"/>
      <c r="E104" s="130"/>
      <c r="F104" s="130" t="s">
        <v>573</v>
      </c>
      <c r="G104" s="151"/>
      <c r="H104" s="58"/>
    </row>
    <row r="105" spans="1:10" x14ac:dyDescent="0.25">
      <c r="A105" s="97"/>
      <c r="B105" s="121">
        <v>26</v>
      </c>
      <c r="C105" s="121" t="s">
        <v>416</v>
      </c>
      <c r="D105" s="121" t="str">
        <f t="shared" ref="D105:D125" si="35">IF(C105="",CONCATENATE("Q_",B105,),CONCATENATE("Q_",B105,"_",C105))</f>
        <v>Q_26_a</v>
      </c>
      <c r="E105" s="122" t="str">
        <f>CONCATENATE("lab var ",D105," ","""",$F$54,": ",F105,"""")</f>
        <v>lab var Q_26_a "2 Alcoholic beverages, tobacco and narcotics: What is the reference period for data collection?"</v>
      </c>
      <c r="F105" s="123" t="s">
        <v>785</v>
      </c>
      <c r="G105" s="55" t="s">
        <v>1069</v>
      </c>
      <c r="H105" s="47" t="s">
        <v>1070</v>
      </c>
      <c r="J105" s="149" t="str">
        <f t="shared" ref="J105:J125" si="36">IF(H105=".","",170-LEN(H105))</f>
        <v/>
      </c>
    </row>
    <row r="106" spans="1:10" x14ac:dyDescent="0.25">
      <c r="A106" s="97"/>
      <c r="B106" s="121">
        <v>26</v>
      </c>
      <c r="C106" s="121" t="s">
        <v>654</v>
      </c>
      <c r="D106" s="121" t="str">
        <f t="shared" si="35"/>
        <v>Q_26_b</v>
      </c>
      <c r="E106" s="122" t="str">
        <f t="shared" ref="E106:E108" si="37">CONCATENATE("lab var ",D106," ","""",$F$54,": ",F106,"""")</f>
        <v>lab var Q_26_b "2 Alcoholic beverages, tobacco and narcotics: Does the survey collect data on quantities?"</v>
      </c>
      <c r="F106" s="123" t="s">
        <v>786</v>
      </c>
      <c r="G106" s="49" t="s">
        <v>1069</v>
      </c>
      <c r="H106" s="47" t="s">
        <v>1070</v>
      </c>
      <c r="J106" s="149" t="str">
        <f t="shared" si="36"/>
        <v/>
      </c>
    </row>
    <row r="107" spans="1:10" x14ac:dyDescent="0.25">
      <c r="A107" s="97"/>
      <c r="B107" s="121">
        <v>26</v>
      </c>
      <c r="C107" s="121" t="s">
        <v>657</v>
      </c>
      <c r="D107" s="121" t="str">
        <f t="shared" si="35"/>
        <v>Q_26_c</v>
      </c>
      <c r="E107" s="122" t="str">
        <f t="shared" si="37"/>
        <v>lab var Q_26_c "2 Alcoholic beverages, tobacco and narcotics: Does the survey collect data on values?"</v>
      </c>
      <c r="F107" s="123" t="s">
        <v>787</v>
      </c>
      <c r="G107" s="49" t="s">
        <v>1069</v>
      </c>
      <c r="H107" s="47" t="s">
        <v>1070</v>
      </c>
      <c r="J107" s="149" t="str">
        <f t="shared" si="36"/>
        <v/>
      </c>
    </row>
    <row r="108" spans="1:10" x14ac:dyDescent="0.25">
      <c r="A108" s="97"/>
      <c r="B108" s="121">
        <v>26</v>
      </c>
      <c r="C108" s="124" t="s">
        <v>658</v>
      </c>
      <c r="D108" s="124" t="str">
        <f t="shared" si="35"/>
        <v>Q_26_d</v>
      </c>
      <c r="E108" s="125" t="str">
        <f t="shared" si="37"/>
        <v>lab var Q_26_d "2 Alcoholic beverages, tobacco and narcotics: Is there information on in-kind transfers to/from the household?"</v>
      </c>
      <c r="F108" s="126" t="s">
        <v>896</v>
      </c>
      <c r="G108" s="51" t="s">
        <v>1069</v>
      </c>
      <c r="H108" s="47" t="s">
        <v>1070</v>
      </c>
      <c r="J108" s="149" t="str">
        <f t="shared" si="36"/>
        <v/>
      </c>
    </row>
    <row r="109" spans="1:10" x14ac:dyDescent="0.25">
      <c r="A109" s="103" t="s">
        <v>35</v>
      </c>
      <c r="B109" s="131">
        <v>27</v>
      </c>
      <c r="C109" s="131"/>
      <c r="D109" s="131" t="str">
        <f t="shared" si="35"/>
        <v>Q_27</v>
      </c>
      <c r="E109" s="110" t="str">
        <f t="shared" ref="E109:E124" si="38">CONCATENATE("lab var ",D109," ","""",F109,"""")</f>
        <v>lab var Q_27 "Total number of durable items "</v>
      </c>
      <c r="F109" s="103" t="s">
        <v>818</v>
      </c>
      <c r="G109" s="46" t="s">
        <v>13</v>
      </c>
      <c r="H109" s="47" t="s">
        <v>1070</v>
      </c>
      <c r="J109" s="149" t="str">
        <f t="shared" si="36"/>
        <v/>
      </c>
    </row>
    <row r="110" spans="1:10" x14ac:dyDescent="0.25">
      <c r="A110" s="109"/>
      <c r="B110" s="131">
        <v>28</v>
      </c>
      <c r="C110" s="131"/>
      <c r="D110" s="131" t="str">
        <f t="shared" si="35"/>
        <v>Q_28</v>
      </c>
      <c r="E110" s="110" t="str">
        <f t="shared" ref="E110" si="39">CONCATENATE("lab var ",D110," ","""",F110,"""")</f>
        <v>lab var Q_28 "Does the survey collect data on quantities for durables?"</v>
      </c>
      <c r="F110" s="132" t="s">
        <v>814</v>
      </c>
      <c r="G110" s="56" t="s">
        <v>1069</v>
      </c>
      <c r="H110" s="47" t="s">
        <v>1070</v>
      </c>
      <c r="J110" s="149" t="str">
        <f t="shared" si="36"/>
        <v/>
      </c>
    </row>
    <row r="111" spans="1:10" x14ac:dyDescent="0.25">
      <c r="A111" s="109"/>
      <c r="B111" s="131">
        <v>29</v>
      </c>
      <c r="C111" s="131"/>
      <c r="D111" s="131" t="str">
        <f t="shared" si="35"/>
        <v>Q_29</v>
      </c>
      <c r="E111" s="110" t="str">
        <f t="shared" si="38"/>
        <v>lab var Q_29 "Does the survey collect data on values for durables?"</v>
      </c>
      <c r="F111" s="132" t="s">
        <v>815</v>
      </c>
      <c r="G111" s="56" t="s">
        <v>1069</v>
      </c>
      <c r="H111" s="47" t="s">
        <v>1070</v>
      </c>
      <c r="J111" s="149" t="str">
        <f t="shared" si="36"/>
        <v/>
      </c>
    </row>
    <row r="112" spans="1:10" x14ac:dyDescent="0.25">
      <c r="A112" s="109"/>
      <c r="B112" s="131">
        <v>30</v>
      </c>
      <c r="C112" s="131"/>
      <c r="D112" s="131" t="str">
        <f t="shared" si="35"/>
        <v>Q_30</v>
      </c>
      <c r="E112" s="110" t="str">
        <f t="shared" si="38"/>
        <v>lab var Q_30 "Is there information about the recall period for durables (if any)?"</v>
      </c>
      <c r="F112" s="132" t="s">
        <v>811</v>
      </c>
      <c r="G112" s="56" t="s">
        <v>1069</v>
      </c>
      <c r="H112" s="47" t="s">
        <v>1070</v>
      </c>
      <c r="J112" s="149" t="str">
        <f t="shared" si="36"/>
        <v/>
      </c>
    </row>
    <row r="113" spans="1:10" x14ac:dyDescent="0.25">
      <c r="A113" s="109"/>
      <c r="B113" s="131">
        <v>31</v>
      </c>
      <c r="C113" s="131"/>
      <c r="D113" s="131" t="str">
        <f t="shared" si="35"/>
        <v>Q_31</v>
      </c>
      <c r="E113" s="110" t="str">
        <f t="shared" si="38"/>
        <v>lab var Q_31 "Is there information about the year of purchase/acquisition of durable goods?"</v>
      </c>
      <c r="F113" s="132" t="s">
        <v>812</v>
      </c>
      <c r="G113" s="56" t="s">
        <v>1069</v>
      </c>
      <c r="H113" s="47" t="s">
        <v>1070</v>
      </c>
      <c r="J113" s="149" t="str">
        <f t="shared" si="36"/>
        <v/>
      </c>
    </row>
    <row r="114" spans="1:10" x14ac:dyDescent="0.25">
      <c r="A114" s="109"/>
      <c r="B114" s="131">
        <v>32</v>
      </c>
      <c r="C114" s="131"/>
      <c r="D114" s="131" t="str">
        <f t="shared" si="35"/>
        <v>Q_32</v>
      </c>
      <c r="E114" s="110" t="str">
        <f t="shared" si="38"/>
        <v>lab var Q_32 "Is there information about the value of durable goods at purchase?"</v>
      </c>
      <c r="F114" s="132" t="s">
        <v>813</v>
      </c>
      <c r="G114" s="56" t="s">
        <v>1069</v>
      </c>
      <c r="H114" s="47" t="s">
        <v>1070</v>
      </c>
      <c r="J114" s="149" t="str">
        <f t="shared" si="36"/>
        <v/>
      </c>
    </row>
    <row r="115" spans="1:10" x14ac:dyDescent="0.25">
      <c r="A115" s="109"/>
      <c r="B115" s="131">
        <v>33</v>
      </c>
      <c r="C115" s="131"/>
      <c r="D115" s="131" t="str">
        <f t="shared" si="35"/>
        <v>Q_33</v>
      </c>
      <c r="E115" s="110" t="str">
        <f t="shared" si="38"/>
        <v>lab var Q_33 "Is there information about the current value of the good?"</v>
      </c>
      <c r="F115" s="132" t="s">
        <v>816</v>
      </c>
      <c r="G115" s="56" t="s">
        <v>1069</v>
      </c>
      <c r="H115" s="47" t="s">
        <v>1070</v>
      </c>
      <c r="J115" s="149" t="str">
        <f t="shared" si="36"/>
        <v/>
      </c>
    </row>
    <row r="116" spans="1:10" x14ac:dyDescent="0.25">
      <c r="A116" s="109"/>
      <c r="B116" s="131">
        <v>34</v>
      </c>
      <c r="C116" s="102"/>
      <c r="D116" s="102" t="str">
        <f t="shared" si="35"/>
        <v>Q_34</v>
      </c>
      <c r="E116" s="103" t="str">
        <f t="shared" si="38"/>
        <v>lab var Q_34 "Is there information on in-kind transfers of durable goods to the household?"</v>
      </c>
      <c r="F116" s="133" t="s">
        <v>817</v>
      </c>
      <c r="G116" s="53" t="s">
        <v>1069</v>
      </c>
      <c r="H116" s="47" t="s">
        <v>1070</v>
      </c>
      <c r="J116" s="149" t="str">
        <f t="shared" si="36"/>
        <v/>
      </c>
    </row>
    <row r="117" spans="1:10" x14ac:dyDescent="0.25">
      <c r="A117" s="103" t="s">
        <v>34</v>
      </c>
      <c r="B117" s="134">
        <v>35</v>
      </c>
      <c r="C117" s="134" t="s">
        <v>416</v>
      </c>
      <c r="D117" s="134" t="str">
        <f t="shared" si="35"/>
        <v>Q_35_a</v>
      </c>
      <c r="E117" s="135" t="str">
        <f t="shared" si="38"/>
        <v>lab var Q_35_a "Is there information on the amount of rent paid?"</v>
      </c>
      <c r="F117" s="136" t="s">
        <v>36</v>
      </c>
      <c r="G117" s="53" t="s">
        <v>1069</v>
      </c>
      <c r="H117" s="54" t="s">
        <v>1070</v>
      </c>
      <c r="J117" s="149" t="str">
        <f t="shared" si="36"/>
        <v/>
      </c>
    </row>
    <row r="118" spans="1:10" x14ac:dyDescent="0.25">
      <c r="A118" s="109"/>
      <c r="B118" s="137">
        <v>35</v>
      </c>
      <c r="C118" s="137" t="s">
        <v>654</v>
      </c>
      <c r="D118" s="137" t="str">
        <f t="shared" si="35"/>
        <v>Q_35_b</v>
      </c>
      <c r="E118" s="138" t="str">
        <f t="shared" si="38"/>
        <v>lab var Q_35_b "What is the reference period for data collection?"</v>
      </c>
      <c r="F118" s="139" t="s">
        <v>785</v>
      </c>
      <c r="G118" s="57" t="s">
        <v>1069</v>
      </c>
      <c r="H118" s="54" t="s">
        <v>1070</v>
      </c>
      <c r="I118" s="94" t="s">
        <v>892</v>
      </c>
      <c r="J118" s="149" t="str">
        <f t="shared" si="36"/>
        <v/>
      </c>
    </row>
    <row r="119" spans="1:10" x14ac:dyDescent="0.25">
      <c r="A119" s="109"/>
      <c r="B119" s="134">
        <v>36</v>
      </c>
      <c r="C119" s="134"/>
      <c r="D119" s="134" t="str">
        <f t="shared" si="35"/>
        <v>Q_36</v>
      </c>
      <c r="E119" s="135" t="str">
        <f t="shared" si="38"/>
        <v>lab var Q_36 "Does the amount of rent paid includes utilities?"</v>
      </c>
      <c r="F119" s="136" t="s">
        <v>45</v>
      </c>
      <c r="G119" s="49" t="s">
        <v>1069</v>
      </c>
      <c r="H119" s="47" t="s">
        <v>1070</v>
      </c>
      <c r="I119" s="94" t="s">
        <v>892</v>
      </c>
      <c r="J119" s="149" t="str">
        <f t="shared" si="36"/>
        <v/>
      </c>
    </row>
    <row r="120" spans="1:10" x14ac:dyDescent="0.25">
      <c r="A120" s="109"/>
      <c r="B120" s="134">
        <v>37</v>
      </c>
      <c r="C120" s="134" t="s">
        <v>416</v>
      </c>
      <c r="D120" s="134" t="str">
        <f t="shared" si="35"/>
        <v>Q_37_a</v>
      </c>
      <c r="E120" s="135" t="str">
        <f t="shared" si="38"/>
        <v>lab var Q_37_a "Is there information about subsidized housing?"</v>
      </c>
      <c r="F120" s="136" t="s">
        <v>41</v>
      </c>
      <c r="G120" s="53" t="s">
        <v>1069</v>
      </c>
      <c r="H120" s="47" t="s">
        <v>1070</v>
      </c>
      <c r="I120" s="94" t="s">
        <v>892</v>
      </c>
      <c r="J120" s="149" t="str">
        <f t="shared" si="36"/>
        <v/>
      </c>
    </row>
    <row r="121" spans="1:10" x14ac:dyDescent="0.25">
      <c r="A121" s="109"/>
      <c r="B121" s="137">
        <v>37</v>
      </c>
      <c r="C121" s="137" t="s">
        <v>654</v>
      </c>
      <c r="D121" s="137" t="str">
        <f t="shared" si="35"/>
        <v>Q_37_b</v>
      </c>
      <c r="E121" s="138" t="str">
        <f t="shared" si="38"/>
        <v>lab var Q_37_b "What is the reference period for data collection?"</v>
      </c>
      <c r="F121" s="139" t="s">
        <v>785</v>
      </c>
      <c r="G121" s="57" t="s">
        <v>1069</v>
      </c>
      <c r="H121" s="47" t="s">
        <v>1070</v>
      </c>
      <c r="I121" s="94" t="s">
        <v>892</v>
      </c>
      <c r="J121" s="149" t="str">
        <f t="shared" si="36"/>
        <v/>
      </c>
    </row>
    <row r="122" spans="1:10" x14ac:dyDescent="0.25">
      <c r="A122" s="109"/>
      <c r="B122" s="134">
        <v>38</v>
      </c>
      <c r="C122" s="134" t="s">
        <v>416</v>
      </c>
      <c r="D122" s="134" t="str">
        <f t="shared" si="35"/>
        <v>Q_38_a</v>
      </c>
      <c r="E122" s="135" t="str">
        <f t="shared" si="38"/>
        <v>lab var Q_38_a "Is there information on self-reported rent (write down the question in comments)?"</v>
      </c>
      <c r="F122" s="136" t="s">
        <v>989</v>
      </c>
      <c r="G122" s="53" t="s">
        <v>1069</v>
      </c>
      <c r="H122" s="47" t="s">
        <v>1070</v>
      </c>
      <c r="I122" s="94" t="s">
        <v>892</v>
      </c>
      <c r="J122" s="149" t="str">
        <f t="shared" si="36"/>
        <v/>
      </c>
    </row>
    <row r="123" spans="1:10" x14ac:dyDescent="0.25">
      <c r="A123" s="109"/>
      <c r="B123" s="137">
        <v>38</v>
      </c>
      <c r="C123" s="137" t="s">
        <v>654</v>
      </c>
      <c r="D123" s="137" t="str">
        <f t="shared" si="35"/>
        <v>Q_38_b</v>
      </c>
      <c r="E123" s="138" t="str">
        <f t="shared" si="38"/>
        <v>lab var Q_38_b "What is the reference period for data collection?"</v>
      </c>
      <c r="F123" s="139" t="s">
        <v>785</v>
      </c>
      <c r="G123" s="57" t="s">
        <v>1069</v>
      </c>
      <c r="H123" s="47" t="s">
        <v>1070</v>
      </c>
      <c r="I123" s="94" t="s">
        <v>892</v>
      </c>
      <c r="J123" s="149" t="str">
        <f t="shared" si="36"/>
        <v/>
      </c>
    </row>
    <row r="124" spans="1:10" x14ac:dyDescent="0.25">
      <c r="A124" s="109"/>
      <c r="B124" s="134">
        <v>39</v>
      </c>
      <c r="C124" s="134" t="s">
        <v>416</v>
      </c>
      <c r="D124" s="134" t="str">
        <f t="shared" si="35"/>
        <v>Q_39_a</v>
      </c>
      <c r="E124" s="135" t="str">
        <f t="shared" si="38"/>
        <v>lab var Q_39_a "Is there information mortgage payments?"</v>
      </c>
      <c r="F124" s="136" t="s">
        <v>668</v>
      </c>
      <c r="G124" s="53" t="s">
        <v>1069</v>
      </c>
      <c r="H124" s="47" t="s">
        <v>1070</v>
      </c>
      <c r="I124" s="94" t="s">
        <v>892</v>
      </c>
      <c r="J124" s="149" t="str">
        <f t="shared" si="36"/>
        <v/>
      </c>
    </row>
    <row r="125" spans="1:10" x14ac:dyDescent="0.25">
      <c r="A125" s="109"/>
      <c r="B125" s="137">
        <v>39</v>
      </c>
      <c r="C125" s="137" t="s">
        <v>654</v>
      </c>
      <c r="D125" s="137" t="str">
        <f t="shared" si="35"/>
        <v>Q_39_b</v>
      </c>
      <c r="E125" s="138" t="str">
        <f t="shared" ref="E125" si="40">CONCATENATE("lab var ",D125," ","""",F125,"""")</f>
        <v>lab var Q_39_b "What is the reference period for data collection?"</v>
      </c>
      <c r="F125" s="139" t="s">
        <v>785</v>
      </c>
      <c r="G125" s="57" t="s">
        <v>1069</v>
      </c>
      <c r="H125" s="47" t="s">
        <v>1070</v>
      </c>
      <c r="I125" s="94" t="s">
        <v>892</v>
      </c>
      <c r="J125" s="149" t="str">
        <f t="shared" si="36"/>
        <v/>
      </c>
    </row>
    <row r="126" spans="1:10" x14ac:dyDescent="0.25">
      <c r="A126" s="109"/>
      <c r="B126" s="102"/>
      <c r="C126" s="102"/>
      <c r="D126" s="102"/>
      <c r="E126" s="103"/>
      <c r="F126" s="103" t="s">
        <v>684</v>
      </c>
      <c r="G126" s="151"/>
      <c r="H126" s="58"/>
      <c r="I126" s="94" t="s">
        <v>892</v>
      </c>
      <c r="J126" s="149"/>
    </row>
    <row r="127" spans="1:10" x14ac:dyDescent="0.25">
      <c r="A127" s="109"/>
      <c r="B127" s="104">
        <v>40</v>
      </c>
      <c r="C127" s="104" t="s">
        <v>416</v>
      </c>
      <c r="D127" s="104" t="str">
        <f t="shared" ref="D127:D137" si="41">IF(C127="",CONCATENATE("Q_",B127,),CONCATENATE("Q_",B127,"_",C127))</f>
        <v>Q_40_a</v>
      </c>
      <c r="E127" s="105" t="str">
        <f t="shared" ref="E127:E137" si="42">CONCATENATE("lab var ",D127," ","""",$F$126,F127,"""")</f>
        <v>lab var Q_40_a "Is there information on dwelling attributes?Type of dwellling (house, apartment, etc.)"</v>
      </c>
      <c r="F127" s="105" t="s">
        <v>53</v>
      </c>
      <c r="G127" s="49" t="s">
        <v>1069</v>
      </c>
      <c r="H127" s="47" t="s">
        <v>1070</v>
      </c>
      <c r="I127" s="94" t="s">
        <v>892</v>
      </c>
      <c r="J127" s="149" t="str">
        <f t="shared" ref="J127:J137" si="43">IF(H127=".","",170-LEN(H127))</f>
        <v/>
      </c>
    </row>
    <row r="128" spans="1:10" x14ac:dyDescent="0.25">
      <c r="A128" s="109"/>
      <c r="B128" s="104">
        <v>40</v>
      </c>
      <c r="C128" s="104" t="s">
        <v>654</v>
      </c>
      <c r="D128" s="104" t="str">
        <f t="shared" si="41"/>
        <v>Q_40_b</v>
      </c>
      <c r="E128" s="105" t="str">
        <f t="shared" si="42"/>
        <v>lab var Q_40_b "Is there information on dwelling attributes?Area of the dwelling"</v>
      </c>
      <c r="F128" s="105" t="s">
        <v>773</v>
      </c>
      <c r="G128" s="49" t="s">
        <v>1069</v>
      </c>
      <c r="H128" s="47" t="s">
        <v>1070</v>
      </c>
      <c r="I128" s="94" t="s">
        <v>892</v>
      </c>
      <c r="J128" s="149" t="str">
        <f t="shared" si="43"/>
        <v/>
      </c>
    </row>
    <row r="129" spans="1:10" x14ac:dyDescent="0.25">
      <c r="A129" s="109"/>
      <c r="B129" s="104">
        <v>40</v>
      </c>
      <c r="C129" s="104" t="s">
        <v>657</v>
      </c>
      <c r="D129" s="104" t="str">
        <f t="shared" si="41"/>
        <v>Q_40_c</v>
      </c>
      <c r="E129" s="105" t="str">
        <f t="shared" si="42"/>
        <v>lab var Q_40_c "Is there information on dwelling attributes?Number of bedrooms"</v>
      </c>
      <c r="F129" s="105" t="s">
        <v>55</v>
      </c>
      <c r="G129" s="49" t="s">
        <v>1069</v>
      </c>
      <c r="H129" s="47" t="s">
        <v>1070</v>
      </c>
      <c r="I129" s="94" t="s">
        <v>892</v>
      </c>
      <c r="J129" s="149" t="str">
        <f t="shared" si="43"/>
        <v/>
      </c>
    </row>
    <row r="130" spans="1:10" x14ac:dyDescent="0.25">
      <c r="A130" s="109"/>
      <c r="B130" s="104">
        <v>40</v>
      </c>
      <c r="C130" s="104" t="s">
        <v>658</v>
      </c>
      <c r="D130" s="104" t="str">
        <f t="shared" si="41"/>
        <v>Q_40_d</v>
      </c>
      <c r="E130" s="105" t="str">
        <f t="shared" si="42"/>
        <v>lab var Q_40_d "Is there information on dwelling attributes?Kitchen"</v>
      </c>
      <c r="F130" s="105" t="s">
        <v>47</v>
      </c>
      <c r="G130" s="49" t="s">
        <v>1069</v>
      </c>
      <c r="H130" s="47" t="s">
        <v>1070</v>
      </c>
      <c r="I130" s="94" t="s">
        <v>892</v>
      </c>
      <c r="J130" s="149" t="str">
        <f t="shared" si="43"/>
        <v/>
      </c>
    </row>
    <row r="131" spans="1:10" x14ac:dyDescent="0.25">
      <c r="A131" s="109"/>
      <c r="B131" s="104">
        <v>40</v>
      </c>
      <c r="C131" s="104" t="s">
        <v>659</v>
      </c>
      <c r="D131" s="104" t="str">
        <f t="shared" si="41"/>
        <v>Q_40_e</v>
      </c>
      <c r="E131" s="105" t="str">
        <f t="shared" si="42"/>
        <v>lab var Q_40_e "Is there information on dwelling attributes?Number of bathrooms"</v>
      </c>
      <c r="F131" s="105" t="s">
        <v>48</v>
      </c>
      <c r="G131" s="49" t="s">
        <v>1069</v>
      </c>
      <c r="H131" s="47" t="s">
        <v>1070</v>
      </c>
      <c r="I131" s="94" t="s">
        <v>892</v>
      </c>
      <c r="J131" s="149" t="str">
        <f t="shared" si="43"/>
        <v/>
      </c>
    </row>
    <row r="132" spans="1:10" x14ac:dyDescent="0.25">
      <c r="A132" s="109"/>
      <c r="B132" s="104">
        <v>40</v>
      </c>
      <c r="C132" s="104" t="s">
        <v>661</v>
      </c>
      <c r="D132" s="104" t="str">
        <f t="shared" si="41"/>
        <v>Q_40_f</v>
      </c>
      <c r="E132" s="105" t="str">
        <f t="shared" si="42"/>
        <v>lab var Q_40_f "Is there information on dwelling attributes?Material of the walls"</v>
      </c>
      <c r="F132" s="105" t="s">
        <v>49</v>
      </c>
      <c r="G132" s="49" t="s">
        <v>1069</v>
      </c>
      <c r="H132" s="47" t="s">
        <v>1070</v>
      </c>
      <c r="I132" s="94" t="s">
        <v>892</v>
      </c>
      <c r="J132" s="149" t="str">
        <f t="shared" si="43"/>
        <v/>
      </c>
    </row>
    <row r="133" spans="1:10" x14ac:dyDescent="0.25">
      <c r="A133" s="109"/>
      <c r="B133" s="104">
        <v>40</v>
      </c>
      <c r="C133" s="104" t="s">
        <v>655</v>
      </c>
      <c r="D133" s="104" t="str">
        <f t="shared" si="41"/>
        <v>Q_40_g</v>
      </c>
      <c r="E133" s="105" t="str">
        <f t="shared" si="42"/>
        <v>lab var Q_40_g "Is there information on dwelling attributes?Material of the roof"</v>
      </c>
      <c r="F133" s="105" t="s">
        <v>50</v>
      </c>
      <c r="G133" s="49" t="s">
        <v>1069</v>
      </c>
      <c r="H133" s="47" t="s">
        <v>1070</v>
      </c>
      <c r="I133" s="94" t="s">
        <v>892</v>
      </c>
      <c r="J133" s="149" t="str">
        <f t="shared" si="43"/>
        <v/>
      </c>
    </row>
    <row r="134" spans="1:10" x14ac:dyDescent="0.25">
      <c r="A134" s="109"/>
      <c r="B134" s="104">
        <v>40</v>
      </c>
      <c r="C134" s="104" t="s">
        <v>656</v>
      </c>
      <c r="D134" s="104" t="str">
        <f t="shared" si="41"/>
        <v>Q_40_h</v>
      </c>
      <c r="E134" s="105" t="str">
        <f t="shared" si="42"/>
        <v>lab var Q_40_h "Is there information on dwelling attributes?Material of the floor"</v>
      </c>
      <c r="F134" s="105" t="s">
        <v>51</v>
      </c>
      <c r="G134" s="49" t="s">
        <v>1069</v>
      </c>
      <c r="H134" s="47" t="s">
        <v>1070</v>
      </c>
      <c r="I134" s="94" t="s">
        <v>892</v>
      </c>
      <c r="J134" s="149" t="str">
        <f t="shared" si="43"/>
        <v/>
      </c>
    </row>
    <row r="135" spans="1:10" x14ac:dyDescent="0.25">
      <c r="A135" s="109"/>
      <c r="B135" s="104">
        <v>40</v>
      </c>
      <c r="C135" s="104" t="s">
        <v>414</v>
      </c>
      <c r="D135" s="104" t="str">
        <f t="shared" si="41"/>
        <v>Q_40_i</v>
      </c>
      <c r="E135" s="105" t="str">
        <f t="shared" si="42"/>
        <v>lab var Q_40_i "Is there information on dwelling attributes?Garage"</v>
      </c>
      <c r="F135" s="105" t="s">
        <v>52</v>
      </c>
      <c r="G135" s="49" t="s">
        <v>1069</v>
      </c>
      <c r="H135" s="47" t="s">
        <v>1070</v>
      </c>
      <c r="I135" s="94" t="s">
        <v>892</v>
      </c>
      <c r="J135" s="149" t="str">
        <f t="shared" si="43"/>
        <v/>
      </c>
    </row>
    <row r="136" spans="1:10" x14ac:dyDescent="0.25">
      <c r="A136" s="109"/>
      <c r="B136" s="104">
        <v>40</v>
      </c>
      <c r="C136" s="104" t="s">
        <v>662</v>
      </c>
      <c r="D136" s="104" t="str">
        <f t="shared" si="41"/>
        <v>Q_40_j</v>
      </c>
      <c r="E136" s="105" t="str">
        <f t="shared" si="42"/>
        <v>lab var Q_40_j "Is there information on dwelling attributes?Access to public transportation"</v>
      </c>
      <c r="F136" s="105" t="s">
        <v>799</v>
      </c>
      <c r="G136" s="49" t="s">
        <v>1069</v>
      </c>
      <c r="H136" s="47" t="s">
        <v>1070</v>
      </c>
      <c r="I136" s="94" t="s">
        <v>892</v>
      </c>
      <c r="J136" s="149" t="str">
        <f t="shared" si="43"/>
        <v/>
      </c>
    </row>
    <row r="137" spans="1:10" x14ac:dyDescent="0.25">
      <c r="A137" s="109"/>
      <c r="B137" s="106">
        <v>40</v>
      </c>
      <c r="C137" s="106" t="s">
        <v>663</v>
      </c>
      <c r="D137" s="106" t="str">
        <f t="shared" si="41"/>
        <v>Q_40_k</v>
      </c>
      <c r="E137" s="107" t="str">
        <f t="shared" si="42"/>
        <v>lab var Q_40_k "Is there information on dwelling attributes?Others (specify in comments)"</v>
      </c>
      <c r="F137" s="107" t="s">
        <v>793</v>
      </c>
      <c r="G137" s="51" t="s">
        <v>1069</v>
      </c>
      <c r="H137" s="47" t="s">
        <v>1070</v>
      </c>
      <c r="I137" s="94" t="s">
        <v>892</v>
      </c>
      <c r="J137" s="149" t="str">
        <f t="shared" si="43"/>
        <v/>
      </c>
    </row>
    <row r="138" spans="1:10" x14ac:dyDescent="0.25">
      <c r="A138" s="109"/>
      <c r="B138" s="108"/>
      <c r="C138" s="108"/>
      <c r="D138" s="108"/>
      <c r="E138" s="109"/>
      <c r="F138" s="109" t="s">
        <v>56</v>
      </c>
      <c r="G138" s="153"/>
      <c r="H138" s="58"/>
      <c r="I138" s="94" t="s">
        <v>892</v>
      </c>
      <c r="J138" s="149"/>
    </row>
    <row r="139" spans="1:10" x14ac:dyDescent="0.25">
      <c r="A139" s="109"/>
      <c r="B139" s="104">
        <v>41</v>
      </c>
      <c r="C139" s="104" t="s">
        <v>416</v>
      </c>
      <c r="D139" s="104" t="str">
        <f>IF(C139="",CONCATENATE("Q_",B139,),CONCATENATE("Q_",B139,"_",C139))</f>
        <v>Q_41_a</v>
      </c>
      <c r="E139" s="105" t="str">
        <f>CONCATENATE("lab var ",D139," ","""",F139,"""")</f>
        <v>lab var Q_41_a "Electricity (list categories in comments)"</v>
      </c>
      <c r="F139" s="105" t="s">
        <v>794</v>
      </c>
      <c r="G139" s="49" t="s">
        <v>1069</v>
      </c>
      <c r="H139" s="47" t="s">
        <v>1070</v>
      </c>
      <c r="I139" s="94" t="s">
        <v>892</v>
      </c>
      <c r="J139" s="149" t="str">
        <f t="shared" ref="J139:J143" si="44">IF(H139=".","",170-LEN(H139))</f>
        <v/>
      </c>
    </row>
    <row r="140" spans="1:10" x14ac:dyDescent="0.25">
      <c r="A140" s="109"/>
      <c r="B140" s="104">
        <v>41</v>
      </c>
      <c r="C140" s="104" t="s">
        <v>654</v>
      </c>
      <c r="D140" s="104" t="str">
        <f>IF(C140="",CONCATENATE("Q_",B140,),CONCATENATE("Q_",B140,"_",C140))</f>
        <v>Q_41_b</v>
      </c>
      <c r="E140" s="105" t="str">
        <f>CONCATENATE("lab var ",D140," ","""",F140,"""")</f>
        <v>lab var Q_41_b "Santiation (list categories in comments)"</v>
      </c>
      <c r="F140" s="105" t="s">
        <v>795</v>
      </c>
      <c r="G140" s="49" t="s">
        <v>1069</v>
      </c>
      <c r="H140" s="45" t="s">
        <v>1070</v>
      </c>
      <c r="I140" s="94" t="s">
        <v>892</v>
      </c>
      <c r="J140" s="149" t="str">
        <f t="shared" si="44"/>
        <v/>
      </c>
    </row>
    <row r="141" spans="1:10" x14ac:dyDescent="0.25">
      <c r="A141" s="109"/>
      <c r="B141" s="104">
        <v>41</v>
      </c>
      <c r="C141" s="104" t="s">
        <v>657</v>
      </c>
      <c r="D141" s="104" t="str">
        <f>IF(C141="",CONCATENATE("Q_",B141,),CONCATENATE("Q_",B141,"_",C141))</f>
        <v>Q_41_c</v>
      </c>
      <c r="E141" s="105" t="str">
        <f>CONCATENATE("lab var ",D141," ","""",F141,"""")</f>
        <v>lab var Q_41_c "Water (list categories in comments)"</v>
      </c>
      <c r="F141" s="105" t="s">
        <v>796</v>
      </c>
      <c r="G141" s="49" t="s">
        <v>1069</v>
      </c>
      <c r="H141" s="47" t="s">
        <v>1070</v>
      </c>
      <c r="I141" s="94" t="s">
        <v>892</v>
      </c>
      <c r="J141" s="149" t="str">
        <f t="shared" si="44"/>
        <v/>
      </c>
    </row>
    <row r="142" spans="1:10" x14ac:dyDescent="0.25">
      <c r="A142" s="140"/>
      <c r="B142" s="106">
        <v>41</v>
      </c>
      <c r="C142" s="106" t="s">
        <v>658</v>
      </c>
      <c r="D142" s="106" t="str">
        <f>IF(C142="",CONCATENATE("Q_",B142,),CONCATENATE("Q_",B142,"_",C142))</f>
        <v>Q_41_d</v>
      </c>
      <c r="E142" s="107" t="str">
        <f>CONCATENATE("lab var ",D142," ","""",F142,"""")</f>
        <v>lab var Q_41_d "Other services, e.g. internet, garbage collection, etc. (list in comments)"</v>
      </c>
      <c r="F142" s="107" t="s">
        <v>797</v>
      </c>
      <c r="G142" s="51" t="s">
        <v>1069</v>
      </c>
      <c r="H142" s="47" t="s">
        <v>1070</v>
      </c>
      <c r="I142" s="94" t="s">
        <v>892</v>
      </c>
      <c r="J142" s="149" t="str">
        <f t="shared" si="44"/>
        <v/>
      </c>
    </row>
    <row r="143" spans="1:10" x14ac:dyDescent="0.25">
      <c r="A143" s="109"/>
      <c r="B143" s="131">
        <v>42</v>
      </c>
      <c r="C143" s="131"/>
      <c r="D143" s="131" t="str">
        <f>IF(C143="",CONCATENATE("Q_",B143,),CONCATENATE("Q_",B143,"_",C143))</f>
        <v>Q_42</v>
      </c>
      <c r="E143" s="110" t="str">
        <f>CONCATENATE("lab var ",D143," ","""",F143,"""")</f>
        <v>lab var Q_42 "Is there information on imputed rents?  (If yes, describe in comments the method used)"</v>
      </c>
      <c r="F143" s="110" t="s">
        <v>798</v>
      </c>
      <c r="G143" s="56" t="s">
        <v>1069</v>
      </c>
      <c r="H143" s="47" t="s">
        <v>1070</v>
      </c>
      <c r="J143" s="149" t="str">
        <f t="shared" si="44"/>
        <v/>
      </c>
    </row>
    <row r="144" spans="1:10" x14ac:dyDescent="0.25">
      <c r="A144" s="141" t="s">
        <v>685</v>
      </c>
      <c r="B144" s="108"/>
      <c r="C144" s="108"/>
      <c r="D144" s="108"/>
      <c r="E144" s="109"/>
      <c r="F144" s="109" t="s">
        <v>686</v>
      </c>
      <c r="G144" s="153"/>
      <c r="H144" s="58"/>
      <c r="J144" s="149"/>
    </row>
    <row r="145" spans="1:10" x14ac:dyDescent="0.25">
      <c r="A145" s="140"/>
      <c r="B145" s="142">
        <v>43</v>
      </c>
      <c r="C145" s="142" t="s">
        <v>416</v>
      </c>
      <c r="D145" s="142" t="str">
        <f t="shared" ref="D145:D191" si="45">IF(C145="",CONCATENATE("Q_",B145,),CONCATENATE("Q_",B145,"_",C145))</f>
        <v>Q_43_a</v>
      </c>
      <c r="E145" s="143" t="str">
        <f t="shared" ref="E145:E191" si="46">CONCATENATE("lab var ",D145," ","""",$F$141,F145,"""")</f>
        <v>lab var Q_43_a "Water (list categories in comments)1.1 Food"</v>
      </c>
      <c r="F145" s="144" t="s">
        <v>421</v>
      </c>
      <c r="G145" s="49" t="s">
        <v>1069</v>
      </c>
      <c r="H145" s="47" t="s">
        <v>1070</v>
      </c>
      <c r="J145" s="149" t="str">
        <f t="shared" ref="J145:J191" si="47">IF(H145=".","",170-LEN(H145))</f>
        <v/>
      </c>
    </row>
    <row r="146" spans="1:10" x14ac:dyDescent="0.25">
      <c r="A146" s="140"/>
      <c r="B146" s="142">
        <v>43</v>
      </c>
      <c r="C146" s="142" t="s">
        <v>654</v>
      </c>
      <c r="D146" s="142" t="str">
        <f t="shared" si="45"/>
        <v>Q_43_b</v>
      </c>
      <c r="E146" s="143" t="str">
        <f t="shared" si="46"/>
        <v>lab var Q_43_b "Water (list categories in comments)1.2 Non-alcoholic beverages"</v>
      </c>
      <c r="F146" s="144" t="s">
        <v>431</v>
      </c>
      <c r="G146" s="49" t="s">
        <v>1069</v>
      </c>
      <c r="H146" s="47" t="s">
        <v>1070</v>
      </c>
      <c r="J146" s="149" t="str">
        <f t="shared" si="47"/>
        <v/>
      </c>
    </row>
    <row r="147" spans="1:10" x14ac:dyDescent="0.25">
      <c r="A147" s="140"/>
      <c r="B147" s="142">
        <v>43</v>
      </c>
      <c r="C147" s="142" t="s">
        <v>657</v>
      </c>
      <c r="D147" s="142" t="str">
        <f t="shared" si="45"/>
        <v>Q_43_c</v>
      </c>
      <c r="E147" s="143" t="str">
        <f t="shared" si="46"/>
        <v>lab var Q_43_c "Water (list categories in comments)2.1 Alcoholic beverages"</v>
      </c>
      <c r="F147" s="144" t="s">
        <v>435</v>
      </c>
      <c r="G147" s="49" t="s">
        <v>1069</v>
      </c>
      <c r="H147" s="47" t="s">
        <v>1070</v>
      </c>
      <c r="J147" s="149" t="str">
        <f t="shared" si="47"/>
        <v/>
      </c>
    </row>
    <row r="148" spans="1:10" x14ac:dyDescent="0.25">
      <c r="A148" s="140"/>
      <c r="B148" s="142">
        <v>43</v>
      </c>
      <c r="C148" s="142" t="s">
        <v>658</v>
      </c>
      <c r="D148" s="142" t="str">
        <f t="shared" si="45"/>
        <v>Q_43_d</v>
      </c>
      <c r="E148" s="143" t="str">
        <f t="shared" si="46"/>
        <v>lab var Q_43_d "Water (list categories in comments)2.2 Tobacco"</v>
      </c>
      <c r="F148" s="144" t="s">
        <v>439</v>
      </c>
      <c r="G148" s="49" t="s">
        <v>1069</v>
      </c>
      <c r="H148" s="47" t="s">
        <v>1070</v>
      </c>
      <c r="J148" s="149" t="str">
        <f t="shared" si="47"/>
        <v/>
      </c>
    </row>
    <row r="149" spans="1:10" x14ac:dyDescent="0.25">
      <c r="A149" s="140"/>
      <c r="B149" s="142">
        <v>43</v>
      </c>
      <c r="C149" s="142" t="s">
        <v>659</v>
      </c>
      <c r="D149" s="142" t="str">
        <f t="shared" si="45"/>
        <v>Q_43_e</v>
      </c>
      <c r="E149" s="143" t="str">
        <f t="shared" si="46"/>
        <v>lab var Q_43_e "Water (list categories in comments)2.3 Narcotics"</v>
      </c>
      <c r="F149" s="144" t="s">
        <v>441</v>
      </c>
      <c r="G149" s="49" t="s">
        <v>1069</v>
      </c>
      <c r="H149" s="47" t="s">
        <v>1070</v>
      </c>
      <c r="J149" s="149" t="str">
        <f t="shared" si="47"/>
        <v/>
      </c>
    </row>
    <row r="150" spans="1:10" x14ac:dyDescent="0.25">
      <c r="A150" s="140"/>
      <c r="B150" s="142">
        <v>43</v>
      </c>
      <c r="C150" s="142" t="s">
        <v>661</v>
      </c>
      <c r="D150" s="142" t="str">
        <f t="shared" si="45"/>
        <v>Q_43_f</v>
      </c>
      <c r="E150" s="143" t="str">
        <f t="shared" si="46"/>
        <v>lab var Q_43_f "Water (list categories in comments)3.1 Clothing"</v>
      </c>
      <c r="F150" s="144" t="s">
        <v>444</v>
      </c>
      <c r="G150" s="49" t="s">
        <v>1069</v>
      </c>
      <c r="H150" s="47" t="s">
        <v>1070</v>
      </c>
      <c r="J150" s="149" t="str">
        <f t="shared" si="47"/>
        <v/>
      </c>
    </row>
    <row r="151" spans="1:10" x14ac:dyDescent="0.25">
      <c r="A151" s="140"/>
      <c r="B151" s="142">
        <v>43</v>
      </c>
      <c r="C151" s="142" t="s">
        <v>655</v>
      </c>
      <c r="D151" s="142" t="str">
        <f t="shared" si="45"/>
        <v>Q_43_g</v>
      </c>
      <c r="E151" s="143" t="str">
        <f t="shared" si="46"/>
        <v>lab var Q_43_g "Water (list categories in comments)3.2 Footwear"</v>
      </c>
      <c r="F151" s="144" t="s">
        <v>449</v>
      </c>
      <c r="G151" s="49" t="s">
        <v>1069</v>
      </c>
      <c r="H151" s="47" t="s">
        <v>1070</v>
      </c>
      <c r="J151" s="149" t="str">
        <f t="shared" si="47"/>
        <v/>
      </c>
    </row>
    <row r="152" spans="1:10" x14ac:dyDescent="0.25">
      <c r="A152" s="140"/>
      <c r="B152" s="142">
        <v>43</v>
      </c>
      <c r="C152" s="142" t="s">
        <v>656</v>
      </c>
      <c r="D152" s="142" t="str">
        <f t="shared" si="45"/>
        <v>Q_43_h</v>
      </c>
      <c r="E152" s="143" t="str">
        <f t="shared" si="46"/>
        <v>lab var Q_43_h "Water (list categories in comments)4.1 Actual rentals for housing"</v>
      </c>
      <c r="F152" s="144" t="s">
        <v>453</v>
      </c>
      <c r="G152" s="49" t="s">
        <v>1069</v>
      </c>
      <c r="H152" s="47" t="s">
        <v>1070</v>
      </c>
      <c r="J152" s="149" t="str">
        <f t="shared" si="47"/>
        <v/>
      </c>
    </row>
    <row r="153" spans="1:10" x14ac:dyDescent="0.25">
      <c r="A153" s="140"/>
      <c r="B153" s="142">
        <v>43</v>
      </c>
      <c r="C153" s="142" t="s">
        <v>414</v>
      </c>
      <c r="D153" s="142" t="str">
        <f t="shared" si="45"/>
        <v>Q_43_i</v>
      </c>
      <c r="E153" s="143" t="str">
        <f t="shared" si="46"/>
        <v>lab var Q_43_i "Water (list categories in comments)4.2 Imputed rentals for housing"</v>
      </c>
      <c r="F153" s="144" t="s">
        <v>456</v>
      </c>
      <c r="G153" s="49" t="s">
        <v>1069</v>
      </c>
      <c r="H153" s="47" t="s">
        <v>1070</v>
      </c>
      <c r="J153" s="149" t="str">
        <f t="shared" si="47"/>
        <v/>
      </c>
    </row>
    <row r="154" spans="1:10" x14ac:dyDescent="0.25">
      <c r="A154" s="140"/>
      <c r="B154" s="142">
        <v>43</v>
      </c>
      <c r="C154" s="142" t="s">
        <v>662</v>
      </c>
      <c r="D154" s="142" t="str">
        <f t="shared" si="45"/>
        <v>Q_43_j</v>
      </c>
      <c r="E154" s="143" t="str">
        <f t="shared" si="46"/>
        <v>lab var Q_43_j "Water (list categories in comments)4.3 Maintenance and repair of the dwelling"</v>
      </c>
      <c r="F154" s="144" t="s">
        <v>459</v>
      </c>
      <c r="G154" s="49" t="s">
        <v>1069</v>
      </c>
      <c r="H154" s="47" t="s">
        <v>1070</v>
      </c>
      <c r="J154" s="149" t="str">
        <f t="shared" si="47"/>
        <v/>
      </c>
    </row>
    <row r="155" spans="1:10" x14ac:dyDescent="0.25">
      <c r="A155" s="140"/>
      <c r="B155" s="142">
        <v>43</v>
      </c>
      <c r="C155" s="142" t="s">
        <v>663</v>
      </c>
      <c r="D155" s="142" t="str">
        <f t="shared" si="45"/>
        <v>Q_43_k</v>
      </c>
      <c r="E155" s="143" t="str">
        <f t="shared" si="46"/>
        <v>lab var Q_43_k "Water (list categories in comments)4.4 Water supply and miscellaneous services relating to the dwelling"</v>
      </c>
      <c r="F155" s="144" t="s">
        <v>462</v>
      </c>
      <c r="G155" s="49" t="s">
        <v>1069</v>
      </c>
      <c r="H155" s="47" t="s">
        <v>1070</v>
      </c>
      <c r="I155" s="94" t="s">
        <v>892</v>
      </c>
      <c r="J155" s="149" t="str">
        <f t="shared" si="47"/>
        <v/>
      </c>
    </row>
    <row r="156" spans="1:10" x14ac:dyDescent="0.25">
      <c r="A156" s="140"/>
      <c r="B156" s="142">
        <v>43</v>
      </c>
      <c r="C156" s="142" t="s">
        <v>415</v>
      </c>
      <c r="D156" s="142" t="str">
        <f t="shared" si="45"/>
        <v>Q_43_l</v>
      </c>
      <c r="E156" s="143" t="str">
        <f t="shared" si="46"/>
        <v>lab var Q_43_l "Water (list categories in comments)4.5 Electricity, gas and other fuels"</v>
      </c>
      <c r="F156" s="144" t="s">
        <v>467</v>
      </c>
      <c r="G156" s="49" t="s">
        <v>1069</v>
      </c>
      <c r="H156" s="47" t="s">
        <v>1070</v>
      </c>
      <c r="I156" s="94" t="s">
        <v>892</v>
      </c>
      <c r="J156" s="149" t="str">
        <f t="shared" si="47"/>
        <v/>
      </c>
    </row>
    <row r="157" spans="1:10" x14ac:dyDescent="0.25">
      <c r="A157" s="140"/>
      <c r="B157" s="142">
        <v>43</v>
      </c>
      <c r="C157" s="142" t="s">
        <v>664</v>
      </c>
      <c r="D157" s="142" t="str">
        <f t="shared" si="45"/>
        <v>Q_43_m</v>
      </c>
      <c r="E157" s="143" t="str">
        <f t="shared" si="46"/>
        <v>lab var Q_43_m "Water (list categories in comments)5.1 Furniture and furnishings, carpets and other floor coverings"</v>
      </c>
      <c r="F157" s="144" t="s">
        <v>474</v>
      </c>
      <c r="G157" s="49" t="s">
        <v>1069</v>
      </c>
      <c r="H157" s="47" t="s">
        <v>1070</v>
      </c>
      <c r="J157" s="149" t="str">
        <f t="shared" si="47"/>
        <v/>
      </c>
    </row>
    <row r="158" spans="1:10" x14ac:dyDescent="0.25">
      <c r="A158" s="140"/>
      <c r="B158" s="142">
        <v>43</v>
      </c>
      <c r="C158" s="142" t="s">
        <v>660</v>
      </c>
      <c r="D158" s="142" t="str">
        <f t="shared" si="45"/>
        <v>Q_43_n</v>
      </c>
      <c r="E158" s="143" t="str">
        <f t="shared" si="46"/>
        <v>lab var Q_43_n "Water (list categories in comments)5.2 Household textiles"</v>
      </c>
      <c r="F158" s="144" t="s">
        <v>478</v>
      </c>
      <c r="G158" s="49" t="s">
        <v>1069</v>
      </c>
      <c r="H158" s="47" t="s">
        <v>1070</v>
      </c>
      <c r="J158" s="149" t="str">
        <f t="shared" si="47"/>
        <v/>
      </c>
    </row>
    <row r="159" spans="1:10" x14ac:dyDescent="0.25">
      <c r="A159" s="140"/>
      <c r="B159" s="142">
        <v>43</v>
      </c>
      <c r="C159" s="142" t="s">
        <v>726</v>
      </c>
      <c r="D159" s="142" t="str">
        <f t="shared" si="45"/>
        <v>Q_43_o</v>
      </c>
      <c r="E159" s="143" t="str">
        <f t="shared" si="46"/>
        <v>lab var Q_43_o "Water (list categories in comments)5.3 Household appliances"</v>
      </c>
      <c r="F159" s="144" t="s">
        <v>480</v>
      </c>
      <c r="G159" s="49" t="s">
        <v>1069</v>
      </c>
      <c r="H159" s="47" t="s">
        <v>1070</v>
      </c>
      <c r="J159" s="149" t="str">
        <f t="shared" si="47"/>
        <v/>
      </c>
    </row>
    <row r="160" spans="1:10" x14ac:dyDescent="0.25">
      <c r="A160" s="140"/>
      <c r="B160" s="142">
        <v>43</v>
      </c>
      <c r="C160" s="142" t="s">
        <v>727</v>
      </c>
      <c r="D160" s="142" t="str">
        <f t="shared" si="45"/>
        <v>Q_43_p</v>
      </c>
      <c r="E160" s="143" t="str">
        <f t="shared" si="46"/>
        <v>lab var Q_43_p "Water (list categories in comments)5.4 Glassware, tableware and household utensils"</v>
      </c>
      <c r="F160" s="144" t="s">
        <v>484</v>
      </c>
      <c r="G160" s="49" t="s">
        <v>1069</v>
      </c>
      <c r="H160" s="47" t="s">
        <v>1070</v>
      </c>
      <c r="J160" s="149" t="str">
        <f t="shared" si="47"/>
        <v/>
      </c>
    </row>
    <row r="161" spans="1:10" x14ac:dyDescent="0.25">
      <c r="A161" s="140"/>
      <c r="B161" s="142">
        <v>43</v>
      </c>
      <c r="C161" s="142" t="s">
        <v>728</v>
      </c>
      <c r="D161" s="142" t="str">
        <f t="shared" si="45"/>
        <v>Q_43_q</v>
      </c>
      <c r="E161" s="143" t="str">
        <f t="shared" si="46"/>
        <v>lab var Q_43_q "Water (list categories in comments)5.5 Tools and equipment for house and garden"</v>
      </c>
      <c r="F161" s="144" t="s">
        <v>486</v>
      </c>
      <c r="G161" s="49" t="s">
        <v>1069</v>
      </c>
      <c r="H161" s="47" t="s">
        <v>1070</v>
      </c>
      <c r="J161" s="149" t="str">
        <f t="shared" si="47"/>
        <v/>
      </c>
    </row>
    <row r="162" spans="1:10" x14ac:dyDescent="0.25">
      <c r="A162" s="140"/>
      <c r="B162" s="142">
        <v>43</v>
      </c>
      <c r="C162" s="142" t="s">
        <v>729</v>
      </c>
      <c r="D162" s="142" t="str">
        <f t="shared" si="45"/>
        <v>Q_43_r</v>
      </c>
      <c r="E162" s="143" t="str">
        <f t="shared" si="46"/>
        <v>lab var Q_43_r "Water (list categories in comments)5.6 Goods and services for routine household maintenance"</v>
      </c>
      <c r="F162" s="144" t="s">
        <v>489</v>
      </c>
      <c r="G162" s="49" t="s">
        <v>1069</v>
      </c>
      <c r="H162" s="47" t="s">
        <v>1070</v>
      </c>
      <c r="J162" s="149" t="str">
        <f t="shared" si="47"/>
        <v/>
      </c>
    </row>
    <row r="163" spans="1:10" x14ac:dyDescent="0.25">
      <c r="A163" s="140"/>
      <c r="B163" s="142">
        <v>43</v>
      </c>
      <c r="C163" s="142" t="s">
        <v>730</v>
      </c>
      <c r="D163" s="142" t="str">
        <f t="shared" si="45"/>
        <v>Q_43_s</v>
      </c>
      <c r="E163" s="143" t="str">
        <f t="shared" si="46"/>
        <v>lab var Q_43_s "Water (list categories in comments)6.1 Medical products, appliances and equipment"</v>
      </c>
      <c r="F163" s="144" t="s">
        <v>493</v>
      </c>
      <c r="G163" s="49" t="s">
        <v>1069</v>
      </c>
      <c r="H163" s="47" t="s">
        <v>1070</v>
      </c>
      <c r="J163" s="149" t="str">
        <f t="shared" si="47"/>
        <v/>
      </c>
    </row>
    <row r="164" spans="1:10" x14ac:dyDescent="0.25">
      <c r="A164" s="140"/>
      <c r="B164" s="142">
        <v>43</v>
      </c>
      <c r="C164" s="142" t="s">
        <v>731</v>
      </c>
      <c r="D164" s="142" t="str">
        <f t="shared" si="45"/>
        <v>Q_43_t</v>
      </c>
      <c r="E164" s="143" t="str">
        <f t="shared" si="46"/>
        <v>lab var Q_43_t "Water (list categories in comments)6.2 Outpatient services"</v>
      </c>
      <c r="F164" s="144" t="s">
        <v>497</v>
      </c>
      <c r="G164" s="49" t="s">
        <v>1069</v>
      </c>
      <c r="H164" s="47" t="s">
        <v>1070</v>
      </c>
      <c r="J164" s="149" t="str">
        <f t="shared" si="47"/>
        <v/>
      </c>
    </row>
    <row r="165" spans="1:10" x14ac:dyDescent="0.25">
      <c r="A165" s="140"/>
      <c r="B165" s="142">
        <v>43</v>
      </c>
      <c r="C165" s="142" t="s">
        <v>732</v>
      </c>
      <c r="D165" s="142" t="str">
        <f t="shared" si="45"/>
        <v>Q_43_u</v>
      </c>
      <c r="E165" s="143" t="str">
        <f t="shared" si="46"/>
        <v>lab var Q_43_u "Water (list categories in comments)6.3 Hospital services"</v>
      </c>
      <c r="F165" s="144" t="s">
        <v>501</v>
      </c>
      <c r="G165" s="49" t="s">
        <v>1069</v>
      </c>
      <c r="H165" s="47" t="s">
        <v>1070</v>
      </c>
      <c r="J165" s="149" t="str">
        <f t="shared" si="47"/>
        <v/>
      </c>
    </row>
    <row r="166" spans="1:10" x14ac:dyDescent="0.25">
      <c r="A166" s="140"/>
      <c r="B166" s="142">
        <v>43</v>
      </c>
      <c r="C166" s="142" t="s">
        <v>733</v>
      </c>
      <c r="D166" s="142" t="str">
        <f t="shared" si="45"/>
        <v>Q_43_v</v>
      </c>
      <c r="E166" s="143" t="str">
        <f t="shared" si="46"/>
        <v>lab var Q_43_v "Water (list categories in comments)7.1 Purchase of vehicles"</v>
      </c>
      <c r="F166" s="144" t="s">
        <v>504</v>
      </c>
      <c r="G166" s="49" t="s">
        <v>1069</v>
      </c>
      <c r="H166" s="47" t="s">
        <v>1070</v>
      </c>
      <c r="J166" s="149" t="str">
        <f t="shared" si="47"/>
        <v/>
      </c>
    </row>
    <row r="167" spans="1:10" x14ac:dyDescent="0.25">
      <c r="A167" s="140"/>
      <c r="B167" s="142">
        <v>43</v>
      </c>
      <c r="C167" s="142" t="s">
        <v>734</v>
      </c>
      <c r="D167" s="142" t="str">
        <f t="shared" si="45"/>
        <v>Q_43_w</v>
      </c>
      <c r="E167" s="143" t="str">
        <f t="shared" si="46"/>
        <v>lab var Q_43_w "Water (list categories in comments)7.2 Operation of personal transport equipment"</v>
      </c>
      <c r="F167" s="144" t="s">
        <v>509</v>
      </c>
      <c r="G167" s="49" t="s">
        <v>1069</v>
      </c>
      <c r="H167" s="47" t="s">
        <v>1070</v>
      </c>
      <c r="J167" s="149" t="str">
        <f t="shared" si="47"/>
        <v/>
      </c>
    </row>
    <row r="168" spans="1:10" x14ac:dyDescent="0.25">
      <c r="A168" s="140"/>
      <c r="B168" s="142">
        <v>43</v>
      </c>
      <c r="C168" s="142" t="s">
        <v>735</v>
      </c>
      <c r="D168" s="142" t="str">
        <f t="shared" si="45"/>
        <v>Q_43_x</v>
      </c>
      <c r="E168" s="143" t="str">
        <f t="shared" si="46"/>
        <v>lab var Q_43_x "Water (list categories in comments)7.3 Transport services"</v>
      </c>
      <c r="F168" s="144" t="s">
        <v>514</v>
      </c>
      <c r="G168" s="49" t="s">
        <v>1069</v>
      </c>
      <c r="H168" s="47" t="s">
        <v>1070</v>
      </c>
      <c r="J168" s="149" t="str">
        <f t="shared" si="47"/>
        <v/>
      </c>
    </row>
    <row r="169" spans="1:10" x14ac:dyDescent="0.25">
      <c r="A169" s="140"/>
      <c r="B169" s="142">
        <v>43</v>
      </c>
      <c r="C169" s="142" t="s">
        <v>736</v>
      </c>
      <c r="D169" s="142" t="str">
        <f t="shared" si="45"/>
        <v>Q_43_y</v>
      </c>
      <c r="E169" s="143" t="str">
        <f t="shared" si="46"/>
        <v>lab var Q_43_y "Water (list categories in comments)8.1 Postal services"</v>
      </c>
      <c r="F169" s="144" t="s">
        <v>522</v>
      </c>
      <c r="G169" s="49" t="s">
        <v>1069</v>
      </c>
      <c r="H169" s="47" t="s">
        <v>1070</v>
      </c>
      <c r="J169" s="149" t="str">
        <f t="shared" si="47"/>
        <v/>
      </c>
    </row>
    <row r="170" spans="1:10" x14ac:dyDescent="0.25">
      <c r="A170" s="140"/>
      <c r="B170" s="142">
        <v>43</v>
      </c>
      <c r="C170" s="142" t="s">
        <v>737</v>
      </c>
      <c r="D170" s="142" t="str">
        <f t="shared" si="45"/>
        <v>Q_43_z</v>
      </c>
      <c r="E170" s="143" t="str">
        <f t="shared" si="46"/>
        <v>lab var Q_43_z "Water (list categories in comments)8.2 Telephone and telefax equipment"</v>
      </c>
      <c r="F170" s="144" t="s">
        <v>524</v>
      </c>
      <c r="G170" s="49" t="s">
        <v>1069</v>
      </c>
      <c r="H170" s="47" t="s">
        <v>1070</v>
      </c>
      <c r="J170" s="149" t="str">
        <f t="shared" si="47"/>
        <v/>
      </c>
    </row>
    <row r="171" spans="1:10" x14ac:dyDescent="0.25">
      <c r="A171" s="140"/>
      <c r="B171" s="142">
        <v>43</v>
      </c>
      <c r="C171" s="142" t="s">
        <v>738</v>
      </c>
      <c r="D171" s="142" t="str">
        <f t="shared" si="45"/>
        <v>Q_43_aa</v>
      </c>
      <c r="E171" s="143" t="str">
        <f t="shared" si="46"/>
        <v>lab var Q_43_aa "Water (list categories in comments)8.3 Telephone and telefax services"</v>
      </c>
      <c r="F171" s="144" t="s">
        <v>526</v>
      </c>
      <c r="G171" s="49" t="s">
        <v>1069</v>
      </c>
      <c r="H171" s="47" t="s">
        <v>1070</v>
      </c>
      <c r="J171" s="149" t="str">
        <f t="shared" si="47"/>
        <v/>
      </c>
    </row>
    <row r="172" spans="1:10" x14ac:dyDescent="0.25">
      <c r="A172" s="140"/>
      <c r="B172" s="142">
        <v>43</v>
      </c>
      <c r="C172" s="142" t="s">
        <v>739</v>
      </c>
      <c r="D172" s="142" t="str">
        <f t="shared" si="45"/>
        <v>Q_43_ab</v>
      </c>
      <c r="E172" s="143" t="str">
        <f t="shared" si="46"/>
        <v>lab var Q_43_ab "Water (list categories in comments)9.1 Audio-visual, photographic and information processing equipment"</v>
      </c>
      <c r="F172" s="144" t="s">
        <v>529</v>
      </c>
      <c r="G172" s="49" t="s">
        <v>1069</v>
      </c>
      <c r="H172" s="47" t="s">
        <v>1070</v>
      </c>
      <c r="J172" s="149" t="str">
        <f t="shared" si="47"/>
        <v/>
      </c>
    </row>
    <row r="173" spans="1:10" x14ac:dyDescent="0.25">
      <c r="A173" s="140"/>
      <c r="B173" s="142">
        <v>43</v>
      </c>
      <c r="C173" s="142" t="s">
        <v>740</v>
      </c>
      <c r="D173" s="142" t="str">
        <f t="shared" si="45"/>
        <v>Q_43_ac</v>
      </c>
      <c r="E173" s="143" t="str">
        <f t="shared" si="46"/>
        <v>lab var Q_43_ac "Water (list categories in comments)9.2 Other major durables for recreation and culture"</v>
      </c>
      <c r="F173" s="144" t="s">
        <v>535</v>
      </c>
      <c r="G173" s="49" t="s">
        <v>1069</v>
      </c>
      <c r="H173" s="47" t="s">
        <v>1070</v>
      </c>
      <c r="J173" s="149" t="str">
        <f t="shared" si="47"/>
        <v/>
      </c>
    </row>
    <row r="174" spans="1:10" x14ac:dyDescent="0.25">
      <c r="A174" s="140"/>
      <c r="B174" s="142">
        <v>43</v>
      </c>
      <c r="C174" s="142" t="s">
        <v>741</v>
      </c>
      <c r="D174" s="142" t="str">
        <f t="shared" si="45"/>
        <v>Q_43_ad</v>
      </c>
      <c r="E174" s="143" t="str">
        <f t="shared" si="46"/>
        <v>lab var Q_43_ad "Water (list categories in comments)9.3 Other recreational items and equipment, gardens and pets"</v>
      </c>
      <c r="F174" s="144" t="s">
        <v>539</v>
      </c>
      <c r="G174" s="49" t="s">
        <v>1069</v>
      </c>
      <c r="H174" s="47" t="s">
        <v>1070</v>
      </c>
      <c r="J174" s="149" t="str">
        <f t="shared" si="47"/>
        <v/>
      </c>
    </row>
    <row r="175" spans="1:10" x14ac:dyDescent="0.25">
      <c r="A175" s="140"/>
      <c r="B175" s="142">
        <v>43</v>
      </c>
      <c r="C175" s="142" t="s">
        <v>742</v>
      </c>
      <c r="D175" s="142" t="str">
        <f t="shared" si="45"/>
        <v>Q_43_ae</v>
      </c>
      <c r="E175" s="143" t="str">
        <f t="shared" si="46"/>
        <v>lab var Q_43_ae "Water (list categories in comments)9.4 Recreational and cultural services"</v>
      </c>
      <c r="F175" s="144" t="s">
        <v>545</v>
      </c>
      <c r="G175" s="49" t="s">
        <v>1069</v>
      </c>
      <c r="H175" s="47" t="s">
        <v>1070</v>
      </c>
      <c r="J175" s="149" t="str">
        <f t="shared" si="47"/>
        <v/>
      </c>
    </row>
    <row r="176" spans="1:10" x14ac:dyDescent="0.25">
      <c r="A176" s="140"/>
      <c r="B176" s="142">
        <v>43</v>
      </c>
      <c r="C176" s="142" t="s">
        <v>743</v>
      </c>
      <c r="D176" s="142" t="str">
        <f t="shared" si="45"/>
        <v>Q_43_af</v>
      </c>
      <c r="E176" s="143" t="str">
        <f t="shared" si="46"/>
        <v>lab var Q_43_af "Water (list categories in comments)9.5 Newspapers, books and stationery"</v>
      </c>
      <c r="F176" s="144" t="s">
        <v>549</v>
      </c>
      <c r="G176" s="49" t="s">
        <v>1069</v>
      </c>
      <c r="H176" s="47" t="s">
        <v>1070</v>
      </c>
      <c r="J176" s="149" t="str">
        <f t="shared" si="47"/>
        <v/>
      </c>
    </row>
    <row r="177" spans="1:10" x14ac:dyDescent="0.25">
      <c r="A177" s="140"/>
      <c r="B177" s="142">
        <v>43</v>
      </c>
      <c r="C177" s="142" t="s">
        <v>744</v>
      </c>
      <c r="D177" s="142" t="str">
        <f t="shared" si="45"/>
        <v>Q_43_ag</v>
      </c>
      <c r="E177" s="143" t="str">
        <f t="shared" si="46"/>
        <v>lab var Q_43_ag "Water (list categories in comments)9.6 Package holidays"</v>
      </c>
      <c r="F177" s="144" t="s">
        <v>554</v>
      </c>
      <c r="G177" s="49" t="s">
        <v>1069</v>
      </c>
      <c r="H177" s="47" t="s">
        <v>1070</v>
      </c>
      <c r="J177" s="149" t="str">
        <f t="shared" si="47"/>
        <v/>
      </c>
    </row>
    <row r="178" spans="1:10" x14ac:dyDescent="0.25">
      <c r="A178" s="140"/>
      <c r="B178" s="142">
        <v>43</v>
      </c>
      <c r="C178" s="142" t="s">
        <v>745</v>
      </c>
      <c r="D178" s="142" t="str">
        <f t="shared" si="45"/>
        <v>Q_43_ah</v>
      </c>
      <c r="E178" s="143" t="str">
        <f t="shared" si="46"/>
        <v>lab var Q_43_ah "Water (list categories in comments)10.1 Pre-primary and primary education"</v>
      </c>
      <c r="F178" s="144" t="s">
        <v>557</v>
      </c>
      <c r="G178" s="49" t="s">
        <v>1069</v>
      </c>
      <c r="H178" s="47" t="s">
        <v>1070</v>
      </c>
      <c r="J178" s="149" t="str">
        <f t="shared" si="47"/>
        <v/>
      </c>
    </row>
    <row r="179" spans="1:10" x14ac:dyDescent="0.25">
      <c r="A179" s="140"/>
      <c r="B179" s="142">
        <v>43</v>
      </c>
      <c r="C179" s="142" t="s">
        <v>746</v>
      </c>
      <c r="D179" s="142" t="str">
        <f t="shared" si="45"/>
        <v>Q_43_ai</v>
      </c>
      <c r="E179" s="143" t="str">
        <f t="shared" si="46"/>
        <v>lab var Q_43_ai "Water (list categories in comments)10.2 Secondary education"</v>
      </c>
      <c r="F179" s="144" t="s">
        <v>559</v>
      </c>
      <c r="G179" s="49" t="s">
        <v>1069</v>
      </c>
      <c r="H179" s="47" t="s">
        <v>1070</v>
      </c>
      <c r="J179" s="149" t="str">
        <f t="shared" si="47"/>
        <v/>
      </c>
    </row>
    <row r="180" spans="1:10" x14ac:dyDescent="0.25">
      <c r="A180" s="140"/>
      <c r="B180" s="142">
        <v>43</v>
      </c>
      <c r="C180" s="142" t="s">
        <v>747</v>
      </c>
      <c r="D180" s="142" t="str">
        <f t="shared" si="45"/>
        <v>Q_43_aj</v>
      </c>
      <c r="E180" s="143" t="str">
        <f t="shared" si="46"/>
        <v>lab var Q_43_aj "Water (list categories in comments)10.3 Post-secondary non-tertiary education"</v>
      </c>
      <c r="F180" s="144" t="s">
        <v>561</v>
      </c>
      <c r="G180" s="49" t="s">
        <v>1069</v>
      </c>
      <c r="H180" s="47" t="s">
        <v>1070</v>
      </c>
      <c r="J180" s="149" t="str">
        <f t="shared" si="47"/>
        <v/>
      </c>
    </row>
    <row r="181" spans="1:10" x14ac:dyDescent="0.25">
      <c r="A181" s="140"/>
      <c r="B181" s="142">
        <v>43</v>
      </c>
      <c r="C181" s="142" t="s">
        <v>748</v>
      </c>
      <c r="D181" s="142" t="str">
        <f t="shared" si="45"/>
        <v>Q_43_ak</v>
      </c>
      <c r="E181" s="143" t="str">
        <f t="shared" si="46"/>
        <v>lab var Q_43_ak "Water (list categories in comments)10.4 Tertiary education"</v>
      </c>
      <c r="F181" s="144" t="s">
        <v>563</v>
      </c>
      <c r="G181" s="49" t="s">
        <v>1069</v>
      </c>
      <c r="H181" s="47" t="s">
        <v>1070</v>
      </c>
      <c r="J181" s="149" t="str">
        <f t="shared" si="47"/>
        <v/>
      </c>
    </row>
    <row r="182" spans="1:10" x14ac:dyDescent="0.25">
      <c r="A182" s="140"/>
      <c r="B182" s="142">
        <v>43</v>
      </c>
      <c r="C182" s="142" t="s">
        <v>749</v>
      </c>
      <c r="D182" s="142" t="str">
        <f t="shared" si="45"/>
        <v>Q_43_al</v>
      </c>
      <c r="E182" s="143" t="str">
        <f t="shared" si="46"/>
        <v>lab var Q_43_al "Water (list categories in comments)10.5 Education not definable by level"</v>
      </c>
      <c r="F182" s="144" t="s">
        <v>565</v>
      </c>
      <c r="G182" s="49" t="s">
        <v>1069</v>
      </c>
      <c r="H182" s="47" t="s">
        <v>1070</v>
      </c>
      <c r="J182" s="149" t="str">
        <f t="shared" si="47"/>
        <v/>
      </c>
    </row>
    <row r="183" spans="1:10" x14ac:dyDescent="0.25">
      <c r="A183" s="140"/>
      <c r="B183" s="142">
        <v>43</v>
      </c>
      <c r="C183" s="142" t="s">
        <v>750</v>
      </c>
      <c r="D183" s="142" t="str">
        <f t="shared" si="45"/>
        <v>Q_43_am</v>
      </c>
      <c r="E183" s="143" t="str">
        <f t="shared" si="46"/>
        <v>lab var Q_43_am "Water (list categories in comments)11.1 Catering services"</v>
      </c>
      <c r="F183" s="144" t="s">
        <v>568</v>
      </c>
      <c r="G183" s="49" t="s">
        <v>1069</v>
      </c>
      <c r="H183" s="47" t="s">
        <v>1070</v>
      </c>
      <c r="J183" s="149" t="str">
        <f t="shared" si="47"/>
        <v/>
      </c>
    </row>
    <row r="184" spans="1:10" x14ac:dyDescent="0.25">
      <c r="A184" s="140"/>
      <c r="B184" s="142">
        <v>43</v>
      </c>
      <c r="C184" s="142" t="s">
        <v>751</v>
      </c>
      <c r="D184" s="142" t="str">
        <f t="shared" si="45"/>
        <v>Q_43_an</v>
      </c>
      <c r="E184" s="143" t="str">
        <f t="shared" si="46"/>
        <v>lab var Q_43_an "Water (list categories in comments)11.2 Accommodation services"</v>
      </c>
      <c r="F184" s="144" t="s">
        <v>571</v>
      </c>
      <c r="G184" s="49" t="s">
        <v>1069</v>
      </c>
      <c r="H184" s="47" t="s">
        <v>1070</v>
      </c>
      <c r="J184" s="149" t="str">
        <f t="shared" si="47"/>
        <v/>
      </c>
    </row>
    <row r="185" spans="1:10" x14ac:dyDescent="0.25">
      <c r="A185" s="140"/>
      <c r="B185" s="142">
        <v>43</v>
      </c>
      <c r="C185" s="142" t="s">
        <v>752</v>
      </c>
      <c r="D185" s="142" t="str">
        <f t="shared" si="45"/>
        <v>Q_43_ao</v>
      </c>
      <c r="E185" s="143" t="str">
        <f t="shared" si="46"/>
        <v>lab var Q_43_ao "Water (list categories in comments)12.1 Personal care"</v>
      </c>
      <c r="F185" s="144" t="s">
        <v>574</v>
      </c>
      <c r="G185" s="49" t="s">
        <v>1069</v>
      </c>
      <c r="H185" s="47" t="s">
        <v>1070</v>
      </c>
      <c r="J185" s="149" t="str">
        <f t="shared" si="47"/>
        <v/>
      </c>
    </row>
    <row r="186" spans="1:10" x14ac:dyDescent="0.25">
      <c r="A186" s="140"/>
      <c r="B186" s="142">
        <v>43</v>
      </c>
      <c r="C186" s="142" t="s">
        <v>753</v>
      </c>
      <c r="D186" s="142" t="str">
        <f t="shared" si="45"/>
        <v>Q_43_ap</v>
      </c>
      <c r="E186" s="143" t="str">
        <f t="shared" si="46"/>
        <v>lab var Q_43_ap "Water (list categories in comments)12.2 Prostitution"</v>
      </c>
      <c r="F186" s="144" t="s">
        <v>578</v>
      </c>
      <c r="G186" s="49" t="s">
        <v>1069</v>
      </c>
      <c r="H186" s="47" t="s">
        <v>1070</v>
      </c>
      <c r="J186" s="149" t="str">
        <f t="shared" si="47"/>
        <v/>
      </c>
    </row>
    <row r="187" spans="1:10" x14ac:dyDescent="0.25">
      <c r="A187" s="140"/>
      <c r="B187" s="142">
        <v>43</v>
      </c>
      <c r="C187" s="142" t="s">
        <v>754</v>
      </c>
      <c r="D187" s="142" t="str">
        <f t="shared" si="45"/>
        <v>Q_43_aq</v>
      </c>
      <c r="E187" s="143" t="str">
        <f t="shared" si="46"/>
        <v>lab var Q_43_aq "Water (list categories in comments)12.3 Personal effects n.e.c."</v>
      </c>
      <c r="F187" s="144" t="s">
        <v>580</v>
      </c>
      <c r="G187" s="49" t="s">
        <v>1069</v>
      </c>
      <c r="H187" s="47" t="s">
        <v>1070</v>
      </c>
      <c r="J187" s="149" t="str">
        <f t="shared" si="47"/>
        <v/>
      </c>
    </row>
    <row r="188" spans="1:10" x14ac:dyDescent="0.25">
      <c r="A188" s="140"/>
      <c r="B188" s="142">
        <v>43</v>
      </c>
      <c r="C188" s="142" t="s">
        <v>755</v>
      </c>
      <c r="D188" s="142" t="str">
        <f t="shared" si="45"/>
        <v>Q_43_ar</v>
      </c>
      <c r="E188" s="143" t="str">
        <f t="shared" si="46"/>
        <v>lab var Q_43_ar "Water (list categories in comments)12.4 Social protection"</v>
      </c>
      <c r="F188" s="144" t="s">
        <v>583</v>
      </c>
      <c r="G188" s="49" t="s">
        <v>1069</v>
      </c>
      <c r="H188" s="47" t="s">
        <v>1070</v>
      </c>
      <c r="J188" s="149" t="str">
        <f t="shared" si="47"/>
        <v/>
      </c>
    </row>
    <row r="189" spans="1:10" x14ac:dyDescent="0.25">
      <c r="A189" s="140"/>
      <c r="B189" s="142">
        <v>43</v>
      </c>
      <c r="C189" s="142" t="s">
        <v>756</v>
      </c>
      <c r="D189" s="142" t="str">
        <f t="shared" si="45"/>
        <v>Q_43_as</v>
      </c>
      <c r="E189" s="143" t="str">
        <f t="shared" si="46"/>
        <v>lab var Q_43_as "Water (list categories in comments)12.5 Insurance"</v>
      </c>
      <c r="F189" s="144" t="s">
        <v>585</v>
      </c>
      <c r="G189" s="49" t="s">
        <v>1069</v>
      </c>
      <c r="H189" s="47" t="s">
        <v>1070</v>
      </c>
      <c r="J189" s="149" t="str">
        <f t="shared" si="47"/>
        <v/>
      </c>
    </row>
    <row r="190" spans="1:10" x14ac:dyDescent="0.25">
      <c r="A190" s="140"/>
      <c r="B190" s="142">
        <v>43</v>
      </c>
      <c r="C190" s="142" t="s">
        <v>757</v>
      </c>
      <c r="D190" s="142" t="str">
        <f t="shared" si="45"/>
        <v>Q_43_at</v>
      </c>
      <c r="E190" s="143" t="str">
        <f t="shared" si="46"/>
        <v>lab var Q_43_at "Water (list categories in comments)12.6 Financial services n.e.c."</v>
      </c>
      <c r="F190" s="144" t="s">
        <v>591</v>
      </c>
      <c r="G190" s="49" t="s">
        <v>1069</v>
      </c>
      <c r="H190" s="47" t="s">
        <v>1070</v>
      </c>
      <c r="J190" s="149" t="str">
        <f t="shared" si="47"/>
        <v/>
      </c>
    </row>
    <row r="191" spans="1:10" x14ac:dyDescent="0.25">
      <c r="A191" s="145"/>
      <c r="B191" s="146">
        <v>43</v>
      </c>
      <c r="C191" s="146" t="s">
        <v>758</v>
      </c>
      <c r="D191" s="146" t="str">
        <f t="shared" si="45"/>
        <v>Q_43_au</v>
      </c>
      <c r="E191" s="147" t="str">
        <f t="shared" si="46"/>
        <v>lab var Q_43_au "Water (list categories in comments)12.7 Other services n.e.c."</v>
      </c>
      <c r="F191" s="148" t="s">
        <v>594</v>
      </c>
      <c r="G191" s="51" t="s">
        <v>1069</v>
      </c>
      <c r="H191" s="47" t="s">
        <v>1070</v>
      </c>
      <c r="J191" s="149" t="str">
        <f t="shared" si="47"/>
        <v/>
      </c>
    </row>
  </sheetData>
  <conditionalFormatting sqref="J6:J28 J30:J34 J36:J41 J43:J46 J48:J52 J55:J58 J60:J63 J65:J68 J70:J73 J75:J78 J80:J83 J85:J88 J90:J93 J95:J98 J100:J103 J105:J191">
    <cfRule type="cellIs" dxfId="1" priority="2" operator="lessThan">
      <formula>0</formula>
    </cfRule>
  </conditionalFormatting>
  <dataValidations disablePrompts="1" count="9">
    <dataValidation type="list" allowBlank="1" showInputMessage="1" showErrorMessage="1" sqref="G3">
      <formula1>INDIRECT($G$2)</formula1>
    </dataValidation>
    <dataValidation type="list" allowBlank="1" showInputMessage="1" showErrorMessage="1" sqref="G2">
      <formula1>Regions</formula1>
    </dataValidation>
    <dataValidation type="list" showInputMessage="1" showErrorMessage="1" sqref="G32:G35 G50:G54 G45:G47 G39:G42 G26:G29 G20:G23 G101:G104 G96:G99 G91:G94 G86:G89 G81:G84 G76:G79 G71:G74 G66:G69 G61:G64 G56:G59 G119:G120 G126:G191 G124 G122 G106:G117 G9:G13 G17:G18">
      <formula1>yesno</formula1>
    </dataValidation>
    <dataValidation type="list" showInputMessage="1" showErrorMessage="1" sqref="G24 G30 G36:G37 G43 G48">
      <formula1>capture</formula1>
    </dataValidation>
    <dataValidation type="list" showInputMessage="1" showErrorMessage="1" sqref="G19">
      <formula1>period</formula1>
    </dataValidation>
    <dataValidation type="list" allowBlank="1" showInputMessage="1" showErrorMessage="1" sqref="G25 G31 G38 G44 G49 G55 G60 G65 G70 G75 G80 G85 G90 G95 G100 G105 G118 G121 G123 G125">
      <formula1>period</formula1>
    </dataValidation>
    <dataValidation type="list" showInputMessage="1" showErrorMessage="1" sqref="G14">
      <formula1>unit</formula1>
    </dataValidation>
    <dataValidation type="list" showInputMessage="1" showErrorMessage="1" sqref="G15">
      <formula1>informante</formula1>
    </dataValidation>
    <dataValidation type="list" showInputMessage="1" showErrorMessage="1" sqref="G16">
      <formula1>sunits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Dropdowns!$C$2:$C$42</xm:f>
          </x14:formula1>
          <xm:sqref>G4</xm:sqref>
        </x14:dataValidation>
        <x14:dataValidation type="list" allowBlank="1" showInputMessage="1" showErrorMessage="1">
          <x14:formula1>
            <xm:f>Dropdowns!$F$2:$F$4</xm:f>
          </x14:formula1>
          <xm:sqref>G7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187"/>
  <sheetViews>
    <sheetView workbookViewId="0">
      <selection activeCell="FI2" sqref="FI2"/>
    </sheetView>
  </sheetViews>
  <sheetFormatPr defaultRowHeight="15" x14ac:dyDescent="0.25"/>
  <cols>
    <col min="1" max="1" width="40.28515625" style="44" bestFit="1" customWidth="1"/>
  </cols>
  <sheetData>
    <row r="1" spans="1:1" ht="21" x14ac:dyDescent="0.35">
      <c r="A1" s="37" t="s">
        <v>60</v>
      </c>
    </row>
    <row r="2" spans="1:1" x14ac:dyDescent="0.25">
      <c r="A2" s="38" t="s">
        <v>706</v>
      </c>
    </row>
    <row r="3" spans="1:1" x14ac:dyDescent="0.25">
      <c r="A3" s="38">
        <v>2015</v>
      </c>
    </row>
    <row r="4" spans="1:1" x14ac:dyDescent="0.25">
      <c r="A4" s="39" t="s">
        <v>888</v>
      </c>
    </row>
    <row r="5" spans="1:1" x14ac:dyDescent="0.25">
      <c r="A5" s="39" t="s">
        <v>889</v>
      </c>
    </row>
    <row r="6" spans="1:1" x14ac:dyDescent="0.25">
      <c r="A6" s="35"/>
    </row>
    <row r="7" spans="1:1" x14ac:dyDescent="0.25">
      <c r="A7" s="40" t="s">
        <v>46</v>
      </c>
    </row>
    <row r="8" spans="1:1" x14ac:dyDescent="0.25">
      <c r="A8" s="40" t="s">
        <v>46</v>
      </c>
    </row>
    <row r="9" spans="1:1" x14ac:dyDescent="0.25">
      <c r="A9" s="40" t="s">
        <v>46</v>
      </c>
    </row>
    <row r="10" spans="1:1" x14ac:dyDescent="0.25">
      <c r="A10" s="40" t="s">
        <v>46</v>
      </c>
    </row>
    <row r="11" spans="1:1" x14ac:dyDescent="0.25">
      <c r="A11" s="41" t="s">
        <v>46</v>
      </c>
    </row>
    <row r="12" spans="1:1" x14ac:dyDescent="0.25">
      <c r="A12" s="34" t="s">
        <v>11</v>
      </c>
    </row>
    <row r="13" spans="1:1" x14ac:dyDescent="0.25">
      <c r="A13" s="38" t="s">
        <v>897</v>
      </c>
    </row>
    <row r="14" spans="1:1" x14ac:dyDescent="0.25">
      <c r="A14" s="38" t="s">
        <v>890</v>
      </c>
    </row>
    <row r="15" spans="1:1" x14ac:dyDescent="0.25">
      <c r="A15" s="41" t="s">
        <v>46</v>
      </c>
    </row>
    <row r="16" spans="1:1" x14ac:dyDescent="0.25">
      <c r="A16" s="35" t="s">
        <v>14</v>
      </c>
    </row>
    <row r="17" spans="1:1" x14ac:dyDescent="0.25">
      <c r="A17" s="38">
        <v>7.2</v>
      </c>
    </row>
    <row r="18" spans="1:1" x14ac:dyDescent="0.25">
      <c r="A18" s="39">
        <v>203</v>
      </c>
    </row>
    <row r="19" spans="1:1" x14ac:dyDescent="0.25">
      <c r="A19" s="42"/>
    </row>
    <row r="20" spans="1:1" x14ac:dyDescent="0.25">
      <c r="A20" s="34" t="s">
        <v>777</v>
      </c>
    </row>
    <row r="21" spans="1:1" x14ac:dyDescent="0.25">
      <c r="A21" s="34" t="s">
        <v>802</v>
      </c>
    </row>
    <row r="22" spans="1:1" x14ac:dyDescent="0.25">
      <c r="A22" s="34" t="s">
        <v>807</v>
      </c>
    </row>
    <row r="23" spans="1:1" x14ac:dyDescent="0.25">
      <c r="A23" s="40" t="s">
        <v>46</v>
      </c>
    </row>
    <row r="24" spans="1:1" x14ac:dyDescent="0.25">
      <c r="A24" s="41" t="s">
        <v>46</v>
      </c>
    </row>
    <row r="25" spans="1:1" x14ac:dyDescent="0.25">
      <c r="A25" s="42"/>
    </row>
    <row r="26" spans="1:1" x14ac:dyDescent="0.25">
      <c r="A26" s="34" t="s">
        <v>777</v>
      </c>
    </row>
    <row r="27" spans="1:1" x14ac:dyDescent="0.25">
      <c r="A27" s="34" t="s">
        <v>802</v>
      </c>
    </row>
    <row r="28" spans="1:1" x14ac:dyDescent="0.25">
      <c r="A28" s="34" t="s">
        <v>807</v>
      </c>
    </row>
    <row r="29" spans="1:1" x14ac:dyDescent="0.25">
      <c r="A29" s="40" t="s">
        <v>46</v>
      </c>
    </row>
    <row r="30" spans="1:1" x14ac:dyDescent="0.25">
      <c r="A30" s="41" t="s">
        <v>46</v>
      </c>
    </row>
    <row r="31" spans="1:1" x14ac:dyDescent="0.25">
      <c r="A31" s="42"/>
    </row>
    <row r="32" spans="1:1" x14ac:dyDescent="0.25">
      <c r="A32" s="34" t="s">
        <v>777</v>
      </c>
    </row>
    <row r="33" spans="1:1" x14ac:dyDescent="0.25">
      <c r="A33" s="34" t="s">
        <v>809</v>
      </c>
    </row>
    <row r="34" spans="1:1" x14ac:dyDescent="0.25">
      <c r="A34" s="34" t="s">
        <v>802</v>
      </c>
    </row>
    <row r="35" spans="1:1" x14ac:dyDescent="0.25">
      <c r="A35" s="34" t="s">
        <v>807</v>
      </c>
    </row>
    <row r="36" spans="1:1" x14ac:dyDescent="0.25">
      <c r="A36" s="40" t="s">
        <v>46</v>
      </c>
    </row>
    <row r="37" spans="1:1" x14ac:dyDescent="0.25">
      <c r="A37" s="41" t="s">
        <v>46</v>
      </c>
    </row>
    <row r="38" spans="1:1" x14ac:dyDescent="0.25">
      <c r="A38" s="42"/>
    </row>
    <row r="39" spans="1:1" x14ac:dyDescent="0.25">
      <c r="A39" s="34" t="s">
        <v>777</v>
      </c>
    </row>
    <row r="40" spans="1:1" x14ac:dyDescent="0.25">
      <c r="A40" s="34" t="s">
        <v>802</v>
      </c>
    </row>
    <row r="41" spans="1:1" x14ac:dyDescent="0.25">
      <c r="A41" s="40" t="s">
        <v>46</v>
      </c>
    </row>
    <row r="42" spans="1:1" x14ac:dyDescent="0.25">
      <c r="A42" s="41" t="s">
        <v>46</v>
      </c>
    </row>
    <row r="43" spans="1:1" x14ac:dyDescent="0.25">
      <c r="A43" s="40"/>
    </row>
    <row r="44" spans="1:1" x14ac:dyDescent="0.25">
      <c r="A44" s="34" t="s">
        <v>777</v>
      </c>
    </row>
    <row r="45" spans="1:1" x14ac:dyDescent="0.25">
      <c r="A45" s="34" t="s">
        <v>802</v>
      </c>
    </row>
    <row r="46" spans="1:1" x14ac:dyDescent="0.25">
      <c r="A46" s="40" t="s">
        <v>46</v>
      </c>
    </row>
    <row r="47" spans="1:1" x14ac:dyDescent="0.25">
      <c r="A47" s="41" t="s">
        <v>46</v>
      </c>
    </row>
    <row r="48" spans="1:1" x14ac:dyDescent="0.25">
      <c r="A48" s="38">
        <f>15+13+8+8+11+7+9+6+10+16+8</f>
        <v>111</v>
      </c>
    </row>
    <row r="49" spans="1:1" x14ac:dyDescent="0.25">
      <c r="A49" s="42"/>
    </row>
    <row r="50" spans="1:1" x14ac:dyDescent="0.25">
      <c r="A50" s="34"/>
    </row>
    <row r="51" spans="1:1" x14ac:dyDescent="0.25">
      <c r="A51" s="34" t="s">
        <v>665</v>
      </c>
    </row>
    <row r="52" spans="1:1" x14ac:dyDescent="0.25">
      <c r="A52" s="40" t="s">
        <v>39</v>
      </c>
    </row>
    <row r="53" spans="1:1" x14ac:dyDescent="0.25">
      <c r="A53" s="40" t="s">
        <v>46</v>
      </c>
    </row>
    <row r="54" spans="1:1" x14ac:dyDescent="0.25">
      <c r="A54" s="40" t="s">
        <v>39</v>
      </c>
    </row>
    <row r="55" spans="1:1" x14ac:dyDescent="0.25">
      <c r="A55" s="35"/>
    </row>
    <row r="56" spans="1:1" x14ac:dyDescent="0.25">
      <c r="A56" s="34" t="s">
        <v>717</v>
      </c>
    </row>
    <row r="57" spans="1:1" x14ac:dyDescent="0.25">
      <c r="A57" s="40" t="s">
        <v>39</v>
      </c>
    </row>
    <row r="58" spans="1:1" x14ac:dyDescent="0.25">
      <c r="A58" s="40" t="s">
        <v>46</v>
      </c>
    </row>
    <row r="59" spans="1:1" x14ac:dyDescent="0.25">
      <c r="A59" s="41" t="s">
        <v>46</v>
      </c>
    </row>
    <row r="60" spans="1:1" x14ac:dyDescent="0.25">
      <c r="A60" s="35"/>
    </row>
    <row r="61" spans="1:1" x14ac:dyDescent="0.25">
      <c r="A61" s="34" t="s">
        <v>803</v>
      </c>
    </row>
    <row r="62" spans="1:1" x14ac:dyDescent="0.25">
      <c r="A62" s="40" t="s">
        <v>39</v>
      </c>
    </row>
    <row r="63" spans="1:1" x14ac:dyDescent="0.25">
      <c r="A63" s="40" t="s">
        <v>46</v>
      </c>
    </row>
    <row r="64" spans="1:1" x14ac:dyDescent="0.25">
      <c r="A64" s="41" t="s">
        <v>39</v>
      </c>
    </row>
    <row r="65" spans="1:1" x14ac:dyDescent="0.25">
      <c r="A65" s="35"/>
    </row>
    <row r="66" spans="1:1" x14ac:dyDescent="0.25">
      <c r="A66" s="34" t="s">
        <v>719</v>
      </c>
    </row>
    <row r="67" spans="1:1" x14ac:dyDescent="0.25">
      <c r="A67" s="40" t="s">
        <v>39</v>
      </c>
    </row>
    <row r="68" spans="1:1" x14ac:dyDescent="0.25">
      <c r="A68" s="40" t="s">
        <v>46</v>
      </c>
    </row>
    <row r="69" spans="1:1" x14ac:dyDescent="0.25">
      <c r="A69" s="41" t="s">
        <v>46</v>
      </c>
    </row>
    <row r="70" spans="1:1" x14ac:dyDescent="0.25">
      <c r="A70" s="35"/>
    </row>
    <row r="71" spans="1:1" x14ac:dyDescent="0.25">
      <c r="A71" s="34" t="s">
        <v>665</v>
      </c>
    </row>
    <row r="72" spans="1:1" x14ac:dyDescent="0.25">
      <c r="A72" s="40" t="s">
        <v>39</v>
      </c>
    </row>
    <row r="73" spans="1:1" x14ac:dyDescent="0.25">
      <c r="A73" s="40" t="s">
        <v>46</v>
      </c>
    </row>
    <row r="74" spans="1:1" x14ac:dyDescent="0.25">
      <c r="A74" s="41" t="s">
        <v>46</v>
      </c>
    </row>
    <row r="75" spans="1:1" x14ac:dyDescent="0.25">
      <c r="A75" s="35"/>
    </row>
    <row r="76" spans="1:1" x14ac:dyDescent="0.25">
      <c r="A76" s="34" t="s">
        <v>803</v>
      </c>
    </row>
    <row r="77" spans="1:1" x14ac:dyDescent="0.25">
      <c r="A77" s="40" t="s">
        <v>39</v>
      </c>
    </row>
    <row r="78" spans="1:1" x14ac:dyDescent="0.25">
      <c r="A78" s="40" t="s">
        <v>46</v>
      </c>
    </row>
    <row r="79" spans="1:1" x14ac:dyDescent="0.25">
      <c r="A79" s="41" t="s">
        <v>46</v>
      </c>
    </row>
    <row r="80" spans="1:1" x14ac:dyDescent="0.25">
      <c r="A80" s="35"/>
    </row>
    <row r="81" spans="1:1" x14ac:dyDescent="0.25">
      <c r="A81" s="34" t="s">
        <v>803</v>
      </c>
    </row>
    <row r="82" spans="1:1" x14ac:dyDescent="0.25">
      <c r="A82" s="40" t="s">
        <v>39</v>
      </c>
    </row>
    <row r="83" spans="1:1" x14ac:dyDescent="0.25">
      <c r="A83" s="40" t="s">
        <v>46</v>
      </c>
    </row>
    <row r="84" spans="1:1" x14ac:dyDescent="0.25">
      <c r="A84" s="41" t="s">
        <v>46</v>
      </c>
    </row>
    <row r="85" spans="1:1" x14ac:dyDescent="0.25">
      <c r="A85" s="35"/>
    </row>
    <row r="86" spans="1:1" x14ac:dyDescent="0.25">
      <c r="A86" s="34" t="s">
        <v>803</v>
      </c>
    </row>
    <row r="87" spans="1:1" x14ac:dyDescent="0.25">
      <c r="A87" s="40" t="s">
        <v>39</v>
      </c>
    </row>
    <row r="88" spans="1:1" x14ac:dyDescent="0.25">
      <c r="A88" s="40" t="s">
        <v>46</v>
      </c>
    </row>
    <row r="89" spans="1:1" x14ac:dyDescent="0.25">
      <c r="A89" s="41" t="s">
        <v>46</v>
      </c>
    </row>
    <row r="90" spans="1:1" x14ac:dyDescent="0.25">
      <c r="A90" s="35"/>
    </row>
    <row r="91" spans="1:1" x14ac:dyDescent="0.25">
      <c r="A91" s="34" t="s">
        <v>719</v>
      </c>
    </row>
    <row r="92" spans="1:1" x14ac:dyDescent="0.25">
      <c r="A92" s="40" t="s">
        <v>39</v>
      </c>
    </row>
    <row r="93" spans="1:1" x14ac:dyDescent="0.25">
      <c r="A93" s="40" t="s">
        <v>46</v>
      </c>
    </row>
    <row r="94" spans="1:1" x14ac:dyDescent="0.25">
      <c r="A94" s="41" t="s">
        <v>46</v>
      </c>
    </row>
    <row r="95" spans="1:1" x14ac:dyDescent="0.25">
      <c r="A95" s="35"/>
    </row>
    <row r="96" spans="1:1" x14ac:dyDescent="0.25">
      <c r="A96" s="34" t="s">
        <v>665</v>
      </c>
    </row>
    <row r="97" spans="1:1" x14ac:dyDescent="0.25">
      <c r="A97" s="40" t="s">
        <v>39</v>
      </c>
    </row>
    <row r="98" spans="1:1" x14ac:dyDescent="0.25">
      <c r="A98" s="40" t="s">
        <v>46</v>
      </c>
    </row>
    <row r="99" spans="1:1" x14ac:dyDescent="0.25">
      <c r="A99" s="41" t="s">
        <v>46</v>
      </c>
    </row>
    <row r="100" spans="1:1" x14ac:dyDescent="0.25">
      <c r="A100" s="35"/>
    </row>
    <row r="101" spans="1:1" x14ac:dyDescent="0.25">
      <c r="A101" s="34" t="s">
        <v>665</v>
      </c>
    </row>
    <row r="102" spans="1:1" x14ac:dyDescent="0.25">
      <c r="A102" s="40" t="s">
        <v>39</v>
      </c>
    </row>
    <row r="103" spans="1:1" x14ac:dyDescent="0.25">
      <c r="A103" s="40" t="s">
        <v>46</v>
      </c>
    </row>
    <row r="104" spans="1:1" x14ac:dyDescent="0.25">
      <c r="A104" s="41" t="s">
        <v>46</v>
      </c>
    </row>
    <row r="105" spans="1:1" x14ac:dyDescent="0.25">
      <c r="A105" s="38">
        <v>26</v>
      </c>
    </row>
    <row r="106" spans="1:1" x14ac:dyDescent="0.25">
      <c r="A106" s="43" t="s">
        <v>46</v>
      </c>
    </row>
    <row r="107" spans="1:1" x14ac:dyDescent="0.25">
      <c r="A107" s="43" t="s">
        <v>46</v>
      </c>
    </row>
    <row r="108" spans="1:1" x14ac:dyDescent="0.25">
      <c r="A108" s="43" t="s">
        <v>894</v>
      </c>
    </row>
    <row r="109" spans="1:1" x14ac:dyDescent="0.25">
      <c r="A109" s="43" t="s">
        <v>46</v>
      </c>
    </row>
    <row r="110" spans="1:1" x14ac:dyDescent="0.25">
      <c r="A110" s="43" t="s">
        <v>46</v>
      </c>
    </row>
    <row r="111" spans="1:1" x14ac:dyDescent="0.25">
      <c r="A111" s="43" t="s">
        <v>46</v>
      </c>
    </row>
    <row r="112" spans="1:1" x14ac:dyDescent="0.25">
      <c r="A112" s="42" t="s">
        <v>39</v>
      </c>
    </row>
    <row r="113" spans="1:1" x14ac:dyDescent="0.25">
      <c r="A113" s="42" t="s">
        <v>46</v>
      </c>
    </row>
    <row r="114" spans="1:1" x14ac:dyDescent="0.25">
      <c r="A114" s="36" t="s">
        <v>803</v>
      </c>
    </row>
    <row r="115" spans="1:1" x14ac:dyDescent="0.25">
      <c r="A115" s="40" t="s">
        <v>46</v>
      </c>
    </row>
    <row r="116" spans="1:1" x14ac:dyDescent="0.25">
      <c r="A116" s="42" t="s">
        <v>39</v>
      </c>
    </row>
    <row r="117" spans="1:1" x14ac:dyDescent="0.25">
      <c r="A117" s="36" t="s">
        <v>894</v>
      </c>
    </row>
    <row r="118" spans="1:1" x14ac:dyDescent="0.25">
      <c r="A118" s="42" t="s">
        <v>46</v>
      </c>
    </row>
    <row r="119" spans="1:1" x14ac:dyDescent="0.25">
      <c r="A119" s="36" t="s">
        <v>803</v>
      </c>
    </row>
    <row r="120" spans="1:1" x14ac:dyDescent="0.25">
      <c r="A120" s="42" t="s">
        <v>39</v>
      </c>
    </row>
    <row r="121" spans="1:1" x14ac:dyDescent="0.25">
      <c r="A121" s="36" t="s">
        <v>894</v>
      </c>
    </row>
    <row r="122" spans="1:1" x14ac:dyDescent="0.25">
      <c r="A122" s="35"/>
    </row>
    <row r="123" spans="1:1" x14ac:dyDescent="0.25">
      <c r="A123" s="40" t="s">
        <v>46</v>
      </c>
    </row>
    <row r="124" spans="1:1" x14ac:dyDescent="0.25">
      <c r="A124" s="40" t="s">
        <v>39</v>
      </c>
    </row>
    <row r="125" spans="1:1" x14ac:dyDescent="0.25">
      <c r="A125" s="40" t="s">
        <v>46</v>
      </c>
    </row>
    <row r="126" spans="1:1" x14ac:dyDescent="0.25">
      <c r="A126" s="40" t="s">
        <v>39</v>
      </c>
    </row>
    <row r="127" spans="1:1" x14ac:dyDescent="0.25">
      <c r="A127" s="40" t="s">
        <v>39</v>
      </c>
    </row>
    <row r="128" spans="1:1" x14ac:dyDescent="0.25">
      <c r="A128" s="40" t="s">
        <v>46</v>
      </c>
    </row>
    <row r="129" spans="1:1" x14ac:dyDescent="0.25">
      <c r="A129" s="40" t="s">
        <v>46</v>
      </c>
    </row>
    <row r="130" spans="1:1" x14ac:dyDescent="0.25">
      <c r="A130" s="40" t="s">
        <v>46</v>
      </c>
    </row>
    <row r="131" spans="1:1" x14ac:dyDescent="0.25">
      <c r="A131" s="40" t="s">
        <v>39</v>
      </c>
    </row>
    <row r="132" spans="1:1" x14ac:dyDescent="0.25">
      <c r="A132" s="40" t="s">
        <v>39</v>
      </c>
    </row>
    <row r="133" spans="1:1" x14ac:dyDescent="0.25">
      <c r="A133" s="41" t="s">
        <v>46</v>
      </c>
    </row>
    <row r="134" spans="1:1" x14ac:dyDescent="0.25">
      <c r="A134" s="34"/>
    </row>
    <row r="135" spans="1:1" x14ac:dyDescent="0.25">
      <c r="A135" s="40" t="s">
        <v>46</v>
      </c>
    </row>
    <row r="136" spans="1:1" x14ac:dyDescent="0.25">
      <c r="A136" s="40" t="s">
        <v>46</v>
      </c>
    </row>
    <row r="137" spans="1:1" x14ac:dyDescent="0.25">
      <c r="A137" s="40" t="s">
        <v>46</v>
      </c>
    </row>
    <row r="138" spans="1:1" x14ac:dyDescent="0.25">
      <c r="A138" s="41" t="s">
        <v>46</v>
      </c>
    </row>
    <row r="139" spans="1:1" x14ac:dyDescent="0.25">
      <c r="A139" s="43" t="s">
        <v>39</v>
      </c>
    </row>
    <row r="140" spans="1:1" x14ac:dyDescent="0.25">
      <c r="A140" s="34"/>
    </row>
    <row r="141" spans="1:1" x14ac:dyDescent="0.25">
      <c r="A141" s="40" t="s">
        <v>46</v>
      </c>
    </row>
    <row r="142" spans="1:1" x14ac:dyDescent="0.25">
      <c r="A142" s="40" t="s">
        <v>46</v>
      </c>
    </row>
    <row r="143" spans="1:1" x14ac:dyDescent="0.25">
      <c r="A143" s="40" t="s">
        <v>46</v>
      </c>
    </row>
    <row r="144" spans="1:1" x14ac:dyDescent="0.25">
      <c r="A144" s="40" t="s">
        <v>46</v>
      </c>
    </row>
    <row r="145" spans="1:1" x14ac:dyDescent="0.25">
      <c r="A145" s="40" t="s">
        <v>39</v>
      </c>
    </row>
    <row r="146" spans="1:1" x14ac:dyDescent="0.25">
      <c r="A146" s="40" t="s">
        <v>46</v>
      </c>
    </row>
    <row r="147" spans="1:1" x14ac:dyDescent="0.25">
      <c r="A147" s="40" t="s">
        <v>46</v>
      </c>
    </row>
    <row r="148" spans="1:1" x14ac:dyDescent="0.25">
      <c r="A148" s="40" t="s">
        <v>46</v>
      </c>
    </row>
    <row r="149" spans="1:1" x14ac:dyDescent="0.25">
      <c r="A149" s="40" t="s">
        <v>46</v>
      </c>
    </row>
    <row r="150" spans="1:1" x14ac:dyDescent="0.25">
      <c r="A150" s="40" t="s">
        <v>46</v>
      </c>
    </row>
    <row r="151" spans="1:1" x14ac:dyDescent="0.25">
      <c r="A151" s="40" t="s">
        <v>46</v>
      </c>
    </row>
    <row r="152" spans="1:1" x14ac:dyDescent="0.25">
      <c r="A152" s="40" t="s">
        <v>46</v>
      </c>
    </row>
    <row r="153" spans="1:1" x14ac:dyDescent="0.25">
      <c r="A153" s="40" t="s">
        <v>46</v>
      </c>
    </row>
    <row r="154" spans="1:1" x14ac:dyDescent="0.25">
      <c r="A154" s="40" t="s">
        <v>46</v>
      </c>
    </row>
    <row r="155" spans="1:1" x14ac:dyDescent="0.25">
      <c r="A155" s="40" t="s">
        <v>46</v>
      </c>
    </row>
    <row r="156" spans="1:1" x14ac:dyDescent="0.25">
      <c r="A156" s="40" t="s">
        <v>46</v>
      </c>
    </row>
    <row r="157" spans="1:1" x14ac:dyDescent="0.25">
      <c r="A157" s="40" t="s">
        <v>39</v>
      </c>
    </row>
    <row r="158" spans="1:1" x14ac:dyDescent="0.25">
      <c r="A158" s="40" t="s">
        <v>46</v>
      </c>
    </row>
    <row r="159" spans="1:1" x14ac:dyDescent="0.25">
      <c r="A159" s="40" t="s">
        <v>46</v>
      </c>
    </row>
    <row r="160" spans="1:1" x14ac:dyDescent="0.25">
      <c r="A160" s="40" t="s">
        <v>46</v>
      </c>
    </row>
    <row r="161" spans="1:1" x14ac:dyDescent="0.25">
      <c r="A161" s="40" t="s">
        <v>46</v>
      </c>
    </row>
    <row r="162" spans="1:1" x14ac:dyDescent="0.25">
      <c r="A162" s="40" t="s">
        <v>46</v>
      </c>
    </row>
    <row r="163" spans="1:1" x14ac:dyDescent="0.25">
      <c r="A163" s="40" t="s">
        <v>46</v>
      </c>
    </row>
    <row r="164" spans="1:1" x14ac:dyDescent="0.25">
      <c r="A164" s="40" t="s">
        <v>46</v>
      </c>
    </row>
    <row r="165" spans="1:1" x14ac:dyDescent="0.25">
      <c r="A165" s="40" t="s">
        <v>46</v>
      </c>
    </row>
    <row r="166" spans="1:1" x14ac:dyDescent="0.25">
      <c r="A166" s="40" t="s">
        <v>46</v>
      </c>
    </row>
    <row r="167" spans="1:1" x14ac:dyDescent="0.25">
      <c r="A167" s="40" t="s">
        <v>46</v>
      </c>
    </row>
    <row r="168" spans="1:1" x14ac:dyDescent="0.25">
      <c r="A168" s="40" t="s">
        <v>46</v>
      </c>
    </row>
    <row r="169" spans="1:1" x14ac:dyDescent="0.25">
      <c r="A169" s="40" t="s">
        <v>46</v>
      </c>
    </row>
    <row r="170" spans="1:1" x14ac:dyDescent="0.25">
      <c r="A170" s="40" t="s">
        <v>46</v>
      </c>
    </row>
    <row r="171" spans="1:1" x14ac:dyDescent="0.25">
      <c r="A171" s="40" t="s">
        <v>46</v>
      </c>
    </row>
    <row r="172" spans="1:1" x14ac:dyDescent="0.25">
      <c r="A172" s="40" t="s">
        <v>46</v>
      </c>
    </row>
    <row r="173" spans="1:1" x14ac:dyDescent="0.25">
      <c r="A173" s="40" t="s">
        <v>46</v>
      </c>
    </row>
    <row r="174" spans="1:1" x14ac:dyDescent="0.25">
      <c r="A174" s="40" t="s">
        <v>46</v>
      </c>
    </row>
    <row r="175" spans="1:1" x14ac:dyDescent="0.25">
      <c r="A175" s="40" t="s">
        <v>46</v>
      </c>
    </row>
    <row r="176" spans="1:1" x14ac:dyDescent="0.25">
      <c r="A176" s="40" t="s">
        <v>46</v>
      </c>
    </row>
    <row r="177" spans="1:1" x14ac:dyDescent="0.25">
      <c r="A177" s="40" t="s">
        <v>46</v>
      </c>
    </row>
    <row r="178" spans="1:1" x14ac:dyDescent="0.25">
      <c r="A178" s="40" t="s">
        <v>46</v>
      </c>
    </row>
    <row r="179" spans="1:1" x14ac:dyDescent="0.25">
      <c r="A179" s="40" t="s">
        <v>46</v>
      </c>
    </row>
    <row r="180" spans="1:1" x14ac:dyDescent="0.25">
      <c r="A180" s="40" t="s">
        <v>46</v>
      </c>
    </row>
    <row r="181" spans="1:1" x14ac:dyDescent="0.25">
      <c r="A181" s="40" t="s">
        <v>46</v>
      </c>
    </row>
    <row r="182" spans="1:1" x14ac:dyDescent="0.25">
      <c r="A182" s="40" t="s">
        <v>39</v>
      </c>
    </row>
    <row r="183" spans="1:1" x14ac:dyDescent="0.25">
      <c r="A183" s="40" t="s">
        <v>46</v>
      </c>
    </row>
    <row r="184" spans="1:1" x14ac:dyDescent="0.25">
      <c r="A184" s="40" t="s">
        <v>46</v>
      </c>
    </row>
    <row r="185" spans="1:1" x14ac:dyDescent="0.25">
      <c r="A185" s="40" t="s">
        <v>46</v>
      </c>
    </row>
    <row r="186" spans="1:1" x14ac:dyDescent="0.25">
      <c r="A186" s="40" t="s">
        <v>46</v>
      </c>
    </row>
    <row r="187" spans="1:1" x14ac:dyDescent="0.25">
      <c r="A187" s="41" t="s">
        <v>46</v>
      </c>
    </row>
  </sheetData>
  <autoFilter ref="A1:A187"/>
  <dataValidations count="1">
    <dataValidation type="list" allowBlank="1" showInputMessage="1" showErrorMessage="1" sqref="A49 A38 A43 A25 A31 A19">
      <formula1>$G$2:$G$3</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Dropdowns!$H$2:$H$11</xm:f>
          </x14:formula1>
          <xm:sqref>A21 A27 A121 A119 A117 A114 A100:A101 A95:A96 A90:A91 A85:A86 A70:A71 A65:A66 A60:A61 A80:A81 A75:A76 A55:A56 A50:A51 A40 A45 A34</xm:sqref>
        </x14:dataValidation>
        <x14:dataValidation type="list" allowBlank="1" showInputMessage="1" showErrorMessage="1">
          <x14:formula1>
            <xm:f>Dropdowns!$F$2:$F$4</xm:f>
          </x14:formula1>
          <xm:sqref>A7:A11 A106:A113 A102:A104 A135:A139 A123:A133 A115:A116 A120 A118 A141:A187 A97:A99 A92:A94 A87:A89 A82:A84 A77:A79 A72:A74 A67:A69 A62:A64 A57:A59 A52:A54 A23:A24 A46:A47 A36:A37 A41:A42 A29:A30 A15</xm:sqref>
        </x14:dataValidation>
        <x14:dataValidation type="list" allowBlank="1" showInputMessage="1" showErrorMessage="1">
          <x14:formula1>
            <xm:f>Dropdowns!$L$2:$L$4</xm:f>
          </x14:formula1>
          <xm:sqref>A33</xm:sqref>
        </x14:dataValidation>
        <x14:dataValidation type="list" allowBlank="1" showInputMessage="1" showErrorMessage="1">
          <x14:formula1>
            <xm:f>Dropdowns!$E$2:$E$4</xm:f>
          </x14:formula1>
          <xm:sqref>A16</xm:sqref>
        </x14:dataValidation>
        <x14:dataValidation type="list" allowBlank="1" showInputMessage="1" showErrorMessage="1">
          <x14:formula1>
            <xm:f>Dropdowns!$D$2:$D$4</xm:f>
          </x14:formula1>
          <xm:sqref>A12</xm:sqref>
        </x14:dataValidation>
        <x14:dataValidation type="list" allowBlank="1" showInputMessage="1" showErrorMessage="1">
          <x14:formula1>
            <xm:f>Dropdowns!$C$2:$C$42</xm:f>
          </x14:formula1>
          <xm:sqref>A3</xm:sqref>
        </x14:dataValidation>
        <x14:dataValidation type="list" allowBlank="1" showInputMessage="1" showErrorMessage="1">
          <x14:formula1>
            <xm:f>Dropdowns!$B$2:$B$26</xm:f>
          </x14:formula1>
          <xm:sqref>A2</xm:sqref>
        </x14:dataValidation>
        <x14:dataValidation type="list" allowBlank="1" showInputMessage="1" showErrorMessage="1">
          <x14:formula1>
            <xm:f>Dropdowns!$J$2:$J$4</xm:f>
          </x14:formula1>
          <xm:sqref>A20</xm:sqref>
        </x14:dataValidation>
        <x14:dataValidation type="list" allowBlank="1" showInputMessage="1" showErrorMessage="1">
          <x14:formula1>
            <xm:f>Dropdowns!$J$2:$J$4</xm:f>
          </x14:formula1>
          <xm:sqref>A39</xm:sqref>
        </x14:dataValidation>
        <x14:dataValidation type="list" allowBlank="1" showInputMessage="1" showErrorMessage="1">
          <x14:formula1>
            <xm:f>Dropdowns!$J$2:$J$4</xm:f>
          </x14:formula1>
          <xm:sqref>A32</xm:sqref>
        </x14:dataValidation>
        <x14:dataValidation type="list" allowBlank="1" showInputMessage="1" showErrorMessage="1">
          <x14:formula1>
            <xm:f>Dropdowns!$J$2:$J$4</xm:f>
          </x14:formula1>
          <xm:sqref>A26</xm:sqref>
        </x14:dataValidation>
        <x14:dataValidation type="list" allowBlank="1" showInputMessage="1" showErrorMessage="1">
          <x14:formula1>
            <xm:f>Dropdowns!$J$2:$J$4</xm:f>
          </x14:formula1>
          <xm:sqref>A44</xm:sqref>
        </x14:dataValidation>
        <x14:dataValidation type="list" allowBlank="1" showInputMessage="1" showErrorMessage="1">
          <x14:formula1>
            <xm:f>Dropdowns!$K$2:$K$6</xm:f>
          </x14:formula1>
          <xm:sqref>A22</xm:sqref>
        </x14:dataValidation>
        <x14:dataValidation type="list" allowBlank="1" showInputMessage="1" showErrorMessage="1">
          <x14:formula1>
            <xm:f>Dropdowns!$K$2:$K$6</xm:f>
          </x14:formula1>
          <xm:sqref>A35</xm:sqref>
        </x14:dataValidation>
        <x14:dataValidation type="list" allowBlank="1" showInputMessage="1" showErrorMessage="1">
          <x14:formula1>
            <xm:f>Dropdowns!$K$2:$K$6</xm:f>
          </x14:formula1>
          <xm:sqref>A28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W45"/>
  <sheetViews>
    <sheetView workbookViewId="0">
      <selection activeCell="D2" sqref="D2:D5"/>
    </sheetView>
  </sheetViews>
  <sheetFormatPr defaultColWidth="11.42578125" defaultRowHeight="15" x14ac:dyDescent="0.25"/>
  <cols>
    <col min="1" max="1" width="11.42578125" style="31"/>
    <col min="2" max="2" width="14" style="31" bestFit="1" customWidth="1"/>
    <col min="3" max="3" width="11.7109375" style="31" bestFit="1" customWidth="1"/>
    <col min="4" max="5" width="26.5703125" style="31" bestFit="1" customWidth="1"/>
    <col min="6" max="6" width="17.42578125" style="31" bestFit="1" customWidth="1"/>
    <col min="7" max="7" width="19.42578125" style="31" bestFit="1" customWidth="1"/>
    <col min="8" max="8" width="18.7109375" style="31" bestFit="1" customWidth="1"/>
    <col min="9" max="10" width="11.42578125" style="31"/>
    <col min="12" max="16384" width="11.42578125" style="31"/>
  </cols>
  <sheetData>
    <row r="1" spans="2:23" ht="15.75" thickBot="1" x14ac:dyDescent="0.3">
      <c r="B1" s="33" t="s">
        <v>711</v>
      </c>
      <c r="C1" s="33" t="s">
        <v>712</v>
      </c>
      <c r="D1" s="33" t="s">
        <v>713</v>
      </c>
      <c r="E1" s="33" t="s">
        <v>714</v>
      </c>
      <c r="F1" s="33" t="s">
        <v>715</v>
      </c>
      <c r="G1" s="33" t="s">
        <v>716</v>
      </c>
      <c r="H1" s="33" t="s">
        <v>720</v>
      </c>
      <c r="I1" s="33" t="s">
        <v>723</v>
      </c>
      <c r="J1" s="33" t="s">
        <v>775</v>
      </c>
      <c r="K1" s="33" t="s">
        <v>805</v>
      </c>
      <c r="L1" s="33" t="s">
        <v>808</v>
      </c>
      <c r="M1" s="31" t="s">
        <v>977</v>
      </c>
      <c r="N1" s="31" t="s">
        <v>984</v>
      </c>
      <c r="P1" s="59" t="s">
        <v>1074</v>
      </c>
      <c r="Q1" s="60"/>
      <c r="R1" s="61" t="s">
        <v>1075</v>
      </c>
      <c r="S1" s="62" t="s">
        <v>1076</v>
      </c>
      <c r="T1" s="62" t="s">
        <v>1077</v>
      </c>
      <c r="U1" s="62" t="s">
        <v>1078</v>
      </c>
      <c r="V1" s="63" t="s">
        <v>1079</v>
      </c>
      <c r="W1" s="64" t="s">
        <v>1080</v>
      </c>
    </row>
    <row r="2" spans="2:23" ht="30" x14ac:dyDescent="0.25">
      <c r="B2" s="31" t="s">
        <v>687</v>
      </c>
      <c r="C2" s="31">
        <v>1990</v>
      </c>
      <c r="D2" s="32" t="s">
        <v>11</v>
      </c>
      <c r="E2" s="32" t="s">
        <v>14</v>
      </c>
      <c r="F2" s="31" t="s">
        <v>39</v>
      </c>
      <c r="G2" s="32" t="s">
        <v>37</v>
      </c>
      <c r="H2" s="31" t="s">
        <v>800</v>
      </c>
      <c r="I2" s="31" t="s">
        <v>721</v>
      </c>
      <c r="J2" s="31" t="s">
        <v>776</v>
      </c>
      <c r="K2" s="31" t="s">
        <v>806</v>
      </c>
      <c r="L2" s="31" t="s">
        <v>809</v>
      </c>
      <c r="M2" s="31">
        <v>1</v>
      </c>
      <c r="N2" s="31" t="s">
        <v>986</v>
      </c>
      <c r="P2" s="65" t="s">
        <v>1075</v>
      </c>
      <c r="Q2" s="66"/>
      <c r="R2" t="s">
        <v>1081</v>
      </c>
      <c r="S2" s="67" t="s">
        <v>1082</v>
      </c>
      <c r="T2" t="s">
        <v>687</v>
      </c>
      <c r="U2" t="s">
        <v>1083</v>
      </c>
      <c r="V2" s="67" t="s">
        <v>1084</v>
      </c>
      <c r="W2" t="s">
        <v>1180</v>
      </c>
    </row>
    <row r="3" spans="2:23" ht="30" x14ac:dyDescent="0.25">
      <c r="B3" s="31" t="s">
        <v>688</v>
      </c>
      <c r="C3" s="31">
        <v>1991</v>
      </c>
      <c r="D3" s="32" t="s">
        <v>12</v>
      </c>
      <c r="E3" s="32" t="s">
        <v>982</v>
      </c>
      <c r="F3" s="31" t="s">
        <v>46</v>
      </c>
      <c r="G3" s="32" t="s">
        <v>38</v>
      </c>
      <c r="H3" s="31" t="s">
        <v>801</v>
      </c>
      <c r="I3" s="31" t="s">
        <v>26</v>
      </c>
      <c r="J3" s="31" t="s">
        <v>777</v>
      </c>
      <c r="K3" s="31" t="s">
        <v>807</v>
      </c>
      <c r="L3" s="31" t="s">
        <v>810</v>
      </c>
      <c r="M3" s="31">
        <v>2</v>
      </c>
      <c r="N3" s="31" t="s">
        <v>987</v>
      </c>
      <c r="P3" s="68" t="s">
        <v>1076</v>
      </c>
      <c r="Q3" s="66"/>
      <c r="R3" t="s">
        <v>1086</v>
      </c>
      <c r="S3" s="67" t="s">
        <v>1087</v>
      </c>
      <c r="T3" t="s">
        <v>690</v>
      </c>
      <c r="U3" t="s">
        <v>1088</v>
      </c>
      <c r="V3" s="67" t="s">
        <v>1089</v>
      </c>
      <c r="W3" t="s">
        <v>1110</v>
      </c>
    </row>
    <row r="4" spans="2:23" ht="45" x14ac:dyDescent="0.25">
      <c r="B4" s="31" t="s">
        <v>689</v>
      </c>
      <c r="C4" s="31">
        <v>1992</v>
      </c>
      <c r="D4" s="32" t="s">
        <v>665</v>
      </c>
      <c r="E4" s="32" t="s">
        <v>665</v>
      </c>
      <c r="F4" s="31" t="s">
        <v>894</v>
      </c>
      <c r="G4" s="32" t="s">
        <v>39</v>
      </c>
      <c r="H4" s="31" t="s">
        <v>802</v>
      </c>
      <c r="I4" s="31" t="s">
        <v>722</v>
      </c>
      <c r="J4" s="31" t="s">
        <v>894</v>
      </c>
      <c r="K4" s="31" t="s">
        <v>990</v>
      </c>
      <c r="L4" s="32" t="s">
        <v>665</v>
      </c>
      <c r="M4" s="31">
        <v>3</v>
      </c>
      <c r="N4" s="32" t="s">
        <v>665</v>
      </c>
      <c r="P4" s="68" t="s">
        <v>1077</v>
      </c>
      <c r="Q4" s="66"/>
      <c r="R4" t="s">
        <v>1091</v>
      </c>
      <c r="S4" s="67" t="s">
        <v>1092</v>
      </c>
      <c r="T4" t="s">
        <v>691</v>
      </c>
      <c r="U4" t="s">
        <v>1093</v>
      </c>
      <c r="V4" s="67" t="s">
        <v>1094</v>
      </c>
      <c r="W4" t="s">
        <v>1181</v>
      </c>
    </row>
    <row r="5" spans="2:23" ht="45" x14ac:dyDescent="0.25">
      <c r="B5" s="31" t="s">
        <v>690</v>
      </c>
      <c r="C5" s="31">
        <v>1993</v>
      </c>
      <c r="D5" s="31" t="s">
        <v>1193</v>
      </c>
      <c r="E5" s="31" t="s">
        <v>1193</v>
      </c>
      <c r="F5" s="31" t="s">
        <v>1193</v>
      </c>
      <c r="G5" s="31" t="s">
        <v>894</v>
      </c>
      <c r="H5" s="31" t="s">
        <v>803</v>
      </c>
      <c r="I5" s="31" t="s">
        <v>725</v>
      </c>
      <c r="J5" s="31" t="s">
        <v>1193</v>
      </c>
      <c r="K5" s="32" t="s">
        <v>665</v>
      </c>
      <c r="L5" s="31" t="s">
        <v>1193</v>
      </c>
      <c r="M5" s="31">
        <v>4</v>
      </c>
      <c r="N5" s="31" t="s">
        <v>1193</v>
      </c>
      <c r="P5" s="68" t="s">
        <v>1078</v>
      </c>
      <c r="Q5" s="66"/>
      <c r="R5" t="s">
        <v>1096</v>
      </c>
      <c r="S5" s="67" t="s">
        <v>1097</v>
      </c>
      <c r="T5" t="s">
        <v>694</v>
      </c>
      <c r="U5" t="s">
        <v>1098</v>
      </c>
      <c r="V5" s="67" t="s">
        <v>1099</v>
      </c>
      <c r="W5" t="s">
        <v>1182</v>
      </c>
    </row>
    <row r="6" spans="2:23" ht="15.75" thickBot="1" x14ac:dyDescent="0.3">
      <c r="B6" s="31" t="s">
        <v>691</v>
      </c>
      <c r="C6" s="31">
        <v>1994</v>
      </c>
      <c r="G6" s="31" t="s">
        <v>1193</v>
      </c>
      <c r="H6" s="31" t="s">
        <v>804</v>
      </c>
      <c r="I6" s="31" t="s">
        <v>1193</v>
      </c>
      <c r="K6" s="32" t="s">
        <v>894</v>
      </c>
      <c r="M6" s="31">
        <v>5</v>
      </c>
      <c r="P6" s="69" t="s">
        <v>1079</v>
      </c>
      <c r="Q6" s="66"/>
      <c r="R6" t="s">
        <v>1101</v>
      </c>
      <c r="S6" s="70" t="s">
        <v>1102</v>
      </c>
      <c r="T6" t="s">
        <v>692</v>
      </c>
      <c r="U6" t="s">
        <v>1103</v>
      </c>
      <c r="V6" s="67" t="s">
        <v>1104</v>
      </c>
      <c r="W6" t="s">
        <v>1114</v>
      </c>
    </row>
    <row r="7" spans="2:23" x14ac:dyDescent="0.25">
      <c r="B7" s="31" t="s">
        <v>692</v>
      </c>
      <c r="C7" s="31">
        <v>1995</v>
      </c>
      <c r="H7" s="31" t="s">
        <v>717</v>
      </c>
      <c r="K7" s="31" t="s">
        <v>1193</v>
      </c>
      <c r="M7" s="31">
        <v>6</v>
      </c>
      <c r="P7" s="71" t="s">
        <v>1080</v>
      </c>
      <c r="Q7" s="66"/>
      <c r="R7" t="s">
        <v>1106</v>
      </c>
      <c r="S7" s="67" t="s">
        <v>1107</v>
      </c>
      <c r="T7" t="s">
        <v>693</v>
      </c>
      <c r="U7" t="s">
        <v>1108</v>
      </c>
      <c r="V7" s="67" t="s">
        <v>1109</v>
      </c>
      <c r="W7" t="s">
        <v>1095</v>
      </c>
    </row>
    <row r="8" spans="2:23" x14ac:dyDescent="0.25">
      <c r="B8" s="31" t="s">
        <v>693</v>
      </c>
      <c r="C8" s="31">
        <v>1996</v>
      </c>
      <c r="H8" s="31" t="s">
        <v>718</v>
      </c>
      <c r="M8" s="31">
        <v>7</v>
      </c>
      <c r="P8" s="71"/>
      <c r="Q8" s="66"/>
      <c r="R8" t="s">
        <v>1111</v>
      </c>
      <c r="S8" s="70" t="s">
        <v>1112</v>
      </c>
      <c r="T8" t="s">
        <v>724</v>
      </c>
      <c r="U8" s="72"/>
      <c r="V8" s="67" t="s">
        <v>1113</v>
      </c>
      <c r="W8" t="s">
        <v>1183</v>
      </c>
    </row>
    <row r="9" spans="2:23" x14ac:dyDescent="0.25">
      <c r="B9" s="31" t="s">
        <v>694</v>
      </c>
      <c r="C9" s="31">
        <v>1997</v>
      </c>
      <c r="H9" s="31" t="s">
        <v>719</v>
      </c>
      <c r="M9" s="31">
        <v>8</v>
      </c>
      <c r="P9" s="73"/>
      <c r="Q9"/>
      <c r="R9" t="s">
        <v>1115</v>
      </c>
      <c r="S9" s="70" t="s">
        <v>1116</v>
      </c>
      <c r="T9" t="s">
        <v>695</v>
      </c>
      <c r="U9" s="72"/>
      <c r="V9" s="67" t="s">
        <v>1117</v>
      </c>
      <c r="W9" t="s">
        <v>1085</v>
      </c>
    </row>
    <row r="10" spans="2:23" ht="30" x14ac:dyDescent="0.25">
      <c r="B10" s="31" t="s">
        <v>724</v>
      </c>
      <c r="C10" s="31">
        <v>1998</v>
      </c>
      <c r="H10" s="32" t="s">
        <v>665</v>
      </c>
      <c r="M10" s="31" t="s">
        <v>980</v>
      </c>
      <c r="P10" s="73"/>
      <c r="Q10"/>
      <c r="R10" t="s">
        <v>1118</v>
      </c>
      <c r="S10" s="67" t="s">
        <v>1119</v>
      </c>
      <c r="T10" t="s">
        <v>697</v>
      </c>
      <c r="U10" s="72"/>
      <c r="V10" s="67" t="s">
        <v>1120</v>
      </c>
      <c r="W10" t="s">
        <v>1184</v>
      </c>
    </row>
    <row r="11" spans="2:23" x14ac:dyDescent="0.25">
      <c r="B11" s="31" t="s">
        <v>695</v>
      </c>
      <c r="C11" s="31">
        <v>1999</v>
      </c>
      <c r="H11" s="32" t="s">
        <v>894</v>
      </c>
      <c r="M11" s="31" t="s">
        <v>1193</v>
      </c>
      <c r="P11" s="71"/>
      <c r="Q11" s="66"/>
      <c r="R11" t="s">
        <v>1121</v>
      </c>
      <c r="S11" s="70" t="s">
        <v>1122</v>
      </c>
      <c r="T11" t="s">
        <v>700</v>
      </c>
      <c r="U11" s="72"/>
      <c r="V11" s="67" t="s">
        <v>1123</v>
      </c>
      <c r="W11" t="s">
        <v>1185</v>
      </c>
    </row>
    <row r="12" spans="2:23" x14ac:dyDescent="0.25">
      <c r="B12" s="31" t="s">
        <v>696</v>
      </c>
      <c r="C12" s="31">
        <v>2000</v>
      </c>
      <c r="H12" s="31" t="s">
        <v>1193</v>
      </c>
      <c r="P12" s="71"/>
      <c r="Q12" s="66"/>
      <c r="R12" t="s">
        <v>1124</v>
      </c>
      <c r="S12" s="70" t="s">
        <v>1125</v>
      </c>
      <c r="T12" t="s">
        <v>702</v>
      </c>
      <c r="U12" s="72"/>
      <c r="V12" s="67" t="s">
        <v>1126</v>
      </c>
      <c r="W12" t="s">
        <v>1186</v>
      </c>
    </row>
    <row r="13" spans="2:23" x14ac:dyDescent="0.25">
      <c r="B13" s="31" t="s">
        <v>697</v>
      </c>
      <c r="C13" s="31">
        <v>2001</v>
      </c>
      <c r="P13" s="71"/>
      <c r="Q13" s="66"/>
      <c r="R13" t="s">
        <v>1127</v>
      </c>
      <c r="S13" s="67" t="s">
        <v>1128</v>
      </c>
      <c r="T13" t="s">
        <v>703</v>
      </c>
      <c r="U13" s="72"/>
      <c r="V13" s="67" t="s">
        <v>1129</v>
      </c>
      <c r="W13" t="s">
        <v>1100</v>
      </c>
    </row>
    <row r="14" spans="2:23" x14ac:dyDescent="0.25">
      <c r="B14" s="31" t="s">
        <v>698</v>
      </c>
      <c r="C14" s="31">
        <v>2002</v>
      </c>
      <c r="P14" s="71"/>
      <c r="Q14" s="66"/>
      <c r="R14" t="s">
        <v>1130</v>
      </c>
      <c r="S14" s="67" t="s">
        <v>1131</v>
      </c>
      <c r="T14" t="s">
        <v>704</v>
      </c>
      <c r="U14" s="72"/>
      <c r="V14" s="67" t="s">
        <v>1132</v>
      </c>
      <c r="W14" t="s">
        <v>1187</v>
      </c>
    </row>
    <row r="15" spans="2:23" x14ac:dyDescent="0.25">
      <c r="B15" s="31" t="s">
        <v>699</v>
      </c>
      <c r="C15" s="31">
        <v>2003</v>
      </c>
      <c r="P15" s="71"/>
      <c r="Q15" s="66"/>
      <c r="R15" t="s">
        <v>1133</v>
      </c>
      <c r="S15" s="70" t="s">
        <v>1134</v>
      </c>
      <c r="T15" t="s">
        <v>706</v>
      </c>
      <c r="U15" s="72"/>
      <c r="V15" s="67" t="s">
        <v>1135</v>
      </c>
      <c r="W15" t="s">
        <v>1188</v>
      </c>
    </row>
    <row r="16" spans="2:23" x14ac:dyDescent="0.25">
      <c r="B16" s="31" t="s">
        <v>700</v>
      </c>
      <c r="C16" s="31">
        <v>2004</v>
      </c>
      <c r="P16" s="71"/>
      <c r="Q16" s="66"/>
      <c r="R16" t="s">
        <v>1136</v>
      </c>
      <c r="S16" s="70" t="s">
        <v>1137</v>
      </c>
      <c r="T16" t="s">
        <v>705</v>
      </c>
      <c r="U16" s="72"/>
      <c r="V16" s="67" t="s">
        <v>1138</v>
      </c>
      <c r="W16" t="s">
        <v>1105</v>
      </c>
    </row>
    <row r="17" spans="2:23" x14ac:dyDescent="0.25">
      <c r="B17" s="31" t="s">
        <v>701</v>
      </c>
      <c r="C17" s="31">
        <v>2005</v>
      </c>
      <c r="P17" s="71"/>
      <c r="Q17" s="66"/>
      <c r="R17" s="74"/>
      <c r="S17" s="67" t="s">
        <v>1139</v>
      </c>
      <c r="T17" t="s">
        <v>696</v>
      </c>
      <c r="U17" s="72"/>
      <c r="V17" s="67" t="s">
        <v>1140</v>
      </c>
      <c r="W17" t="s">
        <v>1189</v>
      </c>
    </row>
    <row r="18" spans="2:23" x14ac:dyDescent="0.25">
      <c r="B18" s="31" t="s">
        <v>702</v>
      </c>
      <c r="C18" s="31">
        <v>2006</v>
      </c>
      <c r="P18" s="71"/>
      <c r="Q18" s="66"/>
      <c r="R18" s="74"/>
      <c r="S18" s="67" t="s">
        <v>1141</v>
      </c>
      <c r="T18" t="s">
        <v>709</v>
      </c>
      <c r="U18" s="72"/>
      <c r="V18" s="67" t="s">
        <v>1142</v>
      </c>
      <c r="W18" t="s">
        <v>1190</v>
      </c>
    </row>
    <row r="19" spans="2:23" x14ac:dyDescent="0.25">
      <c r="B19" s="31" t="s">
        <v>703</v>
      </c>
      <c r="C19" s="31">
        <v>2007</v>
      </c>
      <c r="P19" s="71"/>
      <c r="Q19" s="66"/>
      <c r="R19" s="74"/>
      <c r="S19" s="67" t="s">
        <v>1143</v>
      </c>
      <c r="T19" s="72" t="s">
        <v>701</v>
      </c>
      <c r="U19" s="72"/>
      <c r="V19" s="67" t="s">
        <v>1144</v>
      </c>
      <c r="W19" t="s">
        <v>1191</v>
      </c>
    </row>
    <row r="20" spans="2:23" x14ac:dyDescent="0.25">
      <c r="B20" s="31" t="s">
        <v>704</v>
      </c>
      <c r="C20" s="31">
        <v>2008</v>
      </c>
      <c r="P20" s="71"/>
      <c r="Q20" s="66"/>
      <c r="R20" s="74"/>
      <c r="S20" s="67" t="s">
        <v>1145</v>
      </c>
      <c r="T20" s="72" t="s">
        <v>710</v>
      </c>
      <c r="U20" s="72"/>
      <c r="V20" s="67" t="s">
        <v>1146</v>
      </c>
      <c r="W20" t="s">
        <v>1090</v>
      </c>
    </row>
    <row r="21" spans="2:23" x14ac:dyDescent="0.25">
      <c r="B21" s="31" t="s">
        <v>705</v>
      </c>
      <c r="C21" s="31">
        <v>2009</v>
      </c>
      <c r="P21" s="71"/>
      <c r="Q21" s="66"/>
      <c r="R21" s="74"/>
      <c r="S21" s="67" t="s">
        <v>1147</v>
      </c>
      <c r="T21" s="72"/>
      <c r="U21" s="72"/>
      <c r="V21" s="67" t="s">
        <v>1148</v>
      </c>
      <c r="W21" t="s">
        <v>1192</v>
      </c>
    </row>
    <row r="22" spans="2:23" x14ac:dyDescent="0.25">
      <c r="B22" s="31" t="s">
        <v>706</v>
      </c>
      <c r="C22" s="31">
        <v>2010</v>
      </c>
      <c r="P22" s="71"/>
      <c r="Q22" s="66"/>
      <c r="R22" s="74"/>
      <c r="S22" s="67" t="s">
        <v>1149</v>
      </c>
      <c r="T22" s="72"/>
      <c r="U22" s="72"/>
      <c r="V22" s="67" t="s">
        <v>1150</v>
      </c>
      <c r="W22" s="67"/>
    </row>
    <row r="23" spans="2:23" x14ac:dyDescent="0.25">
      <c r="B23" s="31" t="s">
        <v>707</v>
      </c>
      <c r="C23" s="31">
        <v>2011</v>
      </c>
      <c r="P23" s="71"/>
      <c r="Q23" s="66"/>
      <c r="R23" s="74"/>
      <c r="S23" s="67" t="s">
        <v>1151</v>
      </c>
      <c r="T23" s="72"/>
      <c r="U23" s="72"/>
      <c r="V23" s="75" t="s">
        <v>1152</v>
      </c>
      <c r="W23" s="76"/>
    </row>
    <row r="24" spans="2:23" x14ac:dyDescent="0.25">
      <c r="B24" s="31" t="s">
        <v>708</v>
      </c>
      <c r="C24" s="31">
        <v>2012</v>
      </c>
      <c r="P24" s="71"/>
      <c r="Q24" s="66"/>
      <c r="R24" s="74"/>
      <c r="S24" s="70" t="s">
        <v>1153</v>
      </c>
      <c r="T24" s="72"/>
      <c r="U24" s="72"/>
      <c r="V24" s="67" t="s">
        <v>1154</v>
      </c>
      <c r="W24" s="67"/>
    </row>
    <row r="25" spans="2:23" x14ac:dyDescent="0.25">
      <c r="B25" s="31" t="s">
        <v>709</v>
      </c>
      <c r="C25" s="31">
        <v>2013</v>
      </c>
      <c r="P25" s="71"/>
      <c r="Q25" s="66"/>
      <c r="R25" s="74"/>
      <c r="S25" s="70" t="s">
        <v>1155</v>
      </c>
      <c r="T25" s="72"/>
      <c r="U25" s="72"/>
      <c r="V25" s="67" t="s">
        <v>1156</v>
      </c>
      <c r="W25" s="67"/>
    </row>
    <row r="26" spans="2:23" x14ac:dyDescent="0.25">
      <c r="B26" s="31" t="s">
        <v>710</v>
      </c>
      <c r="C26" s="31">
        <v>2014</v>
      </c>
      <c r="P26" s="71"/>
      <c r="Q26" s="66"/>
      <c r="R26" s="74"/>
      <c r="S26" s="67" t="s">
        <v>1157</v>
      </c>
      <c r="T26" s="72"/>
      <c r="U26" s="72"/>
      <c r="V26" s="67" t="s">
        <v>1158</v>
      </c>
      <c r="W26" s="67"/>
    </row>
    <row r="27" spans="2:23" x14ac:dyDescent="0.25">
      <c r="C27" s="31">
        <v>2015</v>
      </c>
      <c r="P27" s="71"/>
      <c r="Q27" s="66"/>
      <c r="R27" s="74"/>
      <c r="S27" s="67" t="s">
        <v>1159</v>
      </c>
      <c r="T27" s="72"/>
      <c r="U27" s="72"/>
      <c r="V27" s="67" t="s">
        <v>1160</v>
      </c>
      <c r="W27" s="67"/>
    </row>
    <row r="28" spans="2:23" ht="15.75" thickBot="1" x14ac:dyDescent="0.3">
      <c r="C28" s="31">
        <v>2016</v>
      </c>
      <c r="P28" s="71"/>
      <c r="Q28" s="66"/>
      <c r="R28" s="77"/>
      <c r="S28" s="67" t="s">
        <v>1161</v>
      </c>
      <c r="T28" s="78"/>
      <c r="U28" s="78"/>
      <c r="V28" s="67" t="s">
        <v>1162</v>
      </c>
      <c r="W28" s="67"/>
    </row>
    <row r="29" spans="2:23" x14ac:dyDescent="0.25">
      <c r="C29" s="31">
        <v>2017</v>
      </c>
      <c r="P29" s="71"/>
      <c r="Q29" s="66"/>
      <c r="R29" s="71"/>
      <c r="S29"/>
      <c r="T29"/>
      <c r="U29"/>
      <c r="V29" s="67" t="s">
        <v>1163</v>
      </c>
      <c r="W29" s="67"/>
    </row>
    <row r="30" spans="2:23" x14ac:dyDescent="0.25">
      <c r="C30" s="31">
        <v>2018</v>
      </c>
      <c r="P30"/>
      <c r="Q30"/>
      <c r="R30" s="71"/>
      <c r="S30"/>
      <c r="T30"/>
      <c r="U30"/>
      <c r="V30" s="67" t="s">
        <v>1164</v>
      </c>
      <c r="W30" s="67"/>
    </row>
    <row r="31" spans="2:23" x14ac:dyDescent="0.25">
      <c r="C31" s="31">
        <v>2019</v>
      </c>
      <c r="P31"/>
      <c r="Q31"/>
      <c r="R31"/>
      <c r="S31" s="71"/>
      <c r="T31"/>
      <c r="U31"/>
      <c r="V31" s="67" t="s">
        <v>1165</v>
      </c>
      <c r="W31" s="67"/>
    </row>
    <row r="32" spans="2:23" x14ac:dyDescent="0.25">
      <c r="C32" s="31">
        <v>2020</v>
      </c>
      <c r="P32"/>
      <c r="Q32"/>
      <c r="R32"/>
      <c r="S32" s="71"/>
      <c r="T32"/>
      <c r="U32"/>
      <c r="V32" s="67" t="s">
        <v>1166</v>
      </c>
      <c r="W32" s="67"/>
    </row>
    <row r="33" spans="3:23" x14ac:dyDescent="0.25">
      <c r="C33" s="31">
        <v>2021</v>
      </c>
      <c r="P33"/>
      <c r="Q33"/>
      <c r="R33"/>
      <c r="S33" s="71"/>
      <c r="T33"/>
      <c r="U33"/>
      <c r="V33" s="67" t="s">
        <v>1167</v>
      </c>
      <c r="W33" s="67"/>
    </row>
    <row r="34" spans="3:23" x14ac:dyDescent="0.25">
      <c r="C34" s="31">
        <v>2022</v>
      </c>
      <c r="P34"/>
      <c r="Q34"/>
      <c r="R34"/>
      <c r="S34" s="71"/>
      <c r="T34"/>
      <c r="U34"/>
      <c r="V34" s="79" t="s">
        <v>1168</v>
      </c>
      <c r="W34" s="79"/>
    </row>
    <row r="35" spans="3:23" x14ac:dyDescent="0.25">
      <c r="C35" s="31">
        <v>2023</v>
      </c>
      <c r="P35"/>
      <c r="Q35"/>
      <c r="R35"/>
      <c r="S35" s="71"/>
      <c r="T35"/>
      <c r="U35"/>
      <c r="V35" s="67" t="s">
        <v>1169</v>
      </c>
      <c r="W35" s="67"/>
    </row>
    <row r="36" spans="3:23" x14ac:dyDescent="0.25">
      <c r="C36" s="31">
        <v>2024</v>
      </c>
      <c r="P36" s="71"/>
      <c r="Q36" s="66"/>
      <c r="R36"/>
      <c r="S36" s="71"/>
      <c r="T36" s="71"/>
      <c r="U36" s="71"/>
      <c r="V36" s="67" t="s">
        <v>1170</v>
      </c>
      <c r="W36" s="67"/>
    </row>
    <row r="37" spans="3:23" x14ac:dyDescent="0.25">
      <c r="C37" s="31">
        <v>2025</v>
      </c>
      <c r="P37" s="71"/>
      <c r="Q37" s="66"/>
      <c r="R37"/>
      <c r="S37" s="71"/>
      <c r="T37" s="71"/>
      <c r="U37" s="71"/>
      <c r="V37" s="67" t="s">
        <v>1171</v>
      </c>
      <c r="W37" s="67"/>
    </row>
    <row r="38" spans="3:23" x14ac:dyDescent="0.25">
      <c r="C38" s="31">
        <v>2026</v>
      </c>
      <c r="P38" s="71"/>
      <c r="Q38" s="66"/>
      <c r="R38"/>
      <c r="S38" s="71"/>
      <c r="T38" s="71"/>
      <c r="U38" s="71"/>
      <c r="V38" s="67" t="s">
        <v>1172</v>
      </c>
      <c r="W38" s="67"/>
    </row>
    <row r="39" spans="3:23" x14ac:dyDescent="0.25">
      <c r="C39" s="31">
        <v>2027</v>
      </c>
      <c r="P39" s="71"/>
      <c r="Q39" s="66"/>
      <c r="R39"/>
      <c r="S39" s="71"/>
      <c r="T39" s="71"/>
      <c r="U39" s="71"/>
      <c r="V39" s="67" t="s">
        <v>1173</v>
      </c>
      <c r="W39" s="67"/>
    </row>
    <row r="40" spans="3:23" x14ac:dyDescent="0.25">
      <c r="C40" s="31">
        <v>2028</v>
      </c>
      <c r="P40" s="71"/>
      <c r="Q40" s="66"/>
      <c r="R40"/>
      <c r="S40" s="71"/>
      <c r="T40" s="71"/>
      <c r="U40" s="71"/>
      <c r="V40" s="67" t="s">
        <v>1174</v>
      </c>
      <c r="W40" s="67"/>
    </row>
    <row r="41" spans="3:23" x14ac:dyDescent="0.25">
      <c r="C41" s="31">
        <v>2029</v>
      </c>
      <c r="P41" s="71"/>
      <c r="Q41" s="66"/>
      <c r="R41"/>
      <c r="S41" s="71"/>
      <c r="T41" s="71"/>
      <c r="U41" s="71"/>
      <c r="V41" s="67" t="s">
        <v>1175</v>
      </c>
      <c r="W41" s="67"/>
    </row>
    <row r="42" spans="3:23" x14ac:dyDescent="0.25">
      <c r="C42" s="31">
        <v>2030</v>
      </c>
      <c r="P42" s="71"/>
      <c r="Q42" s="66"/>
      <c r="R42" s="71"/>
      <c r="S42" s="71"/>
      <c r="T42" s="71"/>
      <c r="U42" s="71"/>
      <c r="V42" s="67" t="s">
        <v>1176</v>
      </c>
      <c r="W42" s="67"/>
    </row>
    <row r="43" spans="3:23" x14ac:dyDescent="0.25">
      <c r="P43" s="71"/>
      <c r="Q43" s="66"/>
      <c r="R43" s="71"/>
      <c r="S43" s="71"/>
      <c r="T43" s="71"/>
      <c r="U43" s="71"/>
      <c r="V43" s="67" t="s">
        <v>1177</v>
      </c>
      <c r="W43" s="67"/>
    </row>
    <row r="44" spans="3:23" x14ac:dyDescent="0.25">
      <c r="P44" s="71"/>
      <c r="Q44" s="66"/>
      <c r="R44" s="71"/>
      <c r="S44" s="71"/>
      <c r="T44" s="71"/>
      <c r="U44" s="71"/>
      <c r="V44" s="67" t="s">
        <v>1178</v>
      </c>
      <c r="W44" s="67"/>
    </row>
    <row r="45" spans="3:23" x14ac:dyDescent="0.25">
      <c r="P45" s="71"/>
      <c r="Q45" s="66"/>
      <c r="R45" s="71"/>
      <c r="S45" s="71"/>
      <c r="T45" s="71"/>
      <c r="U45" s="71"/>
      <c r="V45" s="67" t="s">
        <v>1179</v>
      </c>
      <c r="W45" s="67"/>
    </row>
  </sheetData>
  <dataConsolidate/>
  <pageMargins left="0.7" right="0.7" top="0.75" bottom="0.75" header="0.3" footer="0.3"/>
  <pageSetup orientation="portrait" horizontalDpi="4294967292"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187"/>
  <sheetViews>
    <sheetView workbookViewId="0">
      <selection activeCell="FI2" sqref="FI2"/>
    </sheetView>
  </sheetViews>
  <sheetFormatPr defaultRowHeight="15" x14ac:dyDescent="0.25"/>
  <sheetData>
    <row r="1" spans="1:2" x14ac:dyDescent="0.25">
      <c r="A1" t="s">
        <v>759</v>
      </c>
      <c r="B1" t="s">
        <v>60</v>
      </c>
    </row>
    <row r="2" spans="1:2" x14ac:dyDescent="0.25">
      <c r="A2" t="s">
        <v>650</v>
      </c>
      <c r="B2" t="s">
        <v>706</v>
      </c>
    </row>
    <row r="3" spans="1:2" x14ac:dyDescent="0.25">
      <c r="A3" t="s">
        <v>651</v>
      </c>
      <c r="B3">
        <v>2015</v>
      </c>
    </row>
    <row r="4" spans="1:2" x14ac:dyDescent="0.25">
      <c r="A4" t="s">
        <v>652</v>
      </c>
      <c r="B4" t="s">
        <v>888</v>
      </c>
    </row>
    <row r="5" spans="1:2" x14ac:dyDescent="0.25">
      <c r="A5" t="s">
        <v>975</v>
      </c>
      <c r="B5" t="s">
        <v>889</v>
      </c>
    </row>
    <row r="7" spans="1:2" x14ac:dyDescent="0.25">
      <c r="A7" t="s">
        <v>760</v>
      </c>
      <c r="B7" t="s">
        <v>46</v>
      </c>
    </row>
    <row r="8" spans="1:2" x14ac:dyDescent="0.25">
      <c r="A8" t="s">
        <v>761</v>
      </c>
      <c r="B8" t="s">
        <v>46</v>
      </c>
    </row>
    <row r="9" spans="1:2" x14ac:dyDescent="0.25">
      <c r="A9" t="s">
        <v>762</v>
      </c>
      <c r="B9" t="s">
        <v>46</v>
      </c>
    </row>
    <row r="10" spans="1:2" x14ac:dyDescent="0.25">
      <c r="A10" t="s">
        <v>763</v>
      </c>
      <c r="B10" t="s">
        <v>46</v>
      </c>
    </row>
    <row r="11" spans="1:2" x14ac:dyDescent="0.25">
      <c r="A11" t="s">
        <v>764</v>
      </c>
      <c r="B11" t="s">
        <v>46</v>
      </c>
    </row>
    <row r="12" spans="1:2" x14ac:dyDescent="0.25">
      <c r="A12" t="s">
        <v>765</v>
      </c>
      <c r="B12" t="s">
        <v>11</v>
      </c>
    </row>
    <row r="13" spans="1:2" x14ac:dyDescent="0.25">
      <c r="A13" t="s">
        <v>766</v>
      </c>
      <c r="B13" t="s">
        <v>897</v>
      </c>
    </row>
    <row r="14" spans="1:2" x14ac:dyDescent="0.25">
      <c r="A14" t="s">
        <v>767</v>
      </c>
      <c r="B14" t="s">
        <v>890</v>
      </c>
    </row>
    <row r="15" spans="1:2" x14ac:dyDescent="0.25">
      <c r="A15" t="s">
        <v>768</v>
      </c>
      <c r="B15" t="s">
        <v>46</v>
      </c>
    </row>
    <row r="16" spans="1:2" x14ac:dyDescent="0.25">
      <c r="A16" t="s">
        <v>778</v>
      </c>
      <c r="B16" t="s">
        <v>14</v>
      </c>
    </row>
    <row r="17" spans="1:2" x14ac:dyDescent="0.25">
      <c r="A17" t="s">
        <v>769</v>
      </c>
      <c r="B17">
        <v>7.2</v>
      </c>
    </row>
    <row r="18" spans="1:2" x14ac:dyDescent="0.25">
      <c r="A18" t="s">
        <v>900</v>
      </c>
      <c r="B18">
        <v>203</v>
      </c>
    </row>
    <row r="20" spans="1:2" x14ac:dyDescent="0.25">
      <c r="A20" t="s">
        <v>819</v>
      </c>
      <c r="B20" t="s">
        <v>777</v>
      </c>
    </row>
    <row r="21" spans="1:2" x14ac:dyDescent="0.25">
      <c r="A21" t="s">
        <v>820</v>
      </c>
      <c r="B21" t="s">
        <v>802</v>
      </c>
    </row>
    <row r="22" spans="1:2" x14ac:dyDescent="0.25">
      <c r="A22" t="s">
        <v>821</v>
      </c>
      <c r="B22" t="s">
        <v>807</v>
      </c>
    </row>
    <row r="23" spans="1:2" x14ac:dyDescent="0.25">
      <c r="A23" t="s">
        <v>822</v>
      </c>
      <c r="B23" t="s">
        <v>46</v>
      </c>
    </row>
    <row r="24" spans="1:2" x14ac:dyDescent="0.25">
      <c r="A24" t="s">
        <v>823</v>
      </c>
      <c r="B24" t="s">
        <v>46</v>
      </c>
    </row>
    <row r="26" spans="1:2" x14ac:dyDescent="0.25">
      <c r="A26" t="s">
        <v>824</v>
      </c>
      <c r="B26" t="s">
        <v>777</v>
      </c>
    </row>
    <row r="27" spans="1:2" x14ac:dyDescent="0.25">
      <c r="A27" t="s">
        <v>825</v>
      </c>
      <c r="B27" t="s">
        <v>802</v>
      </c>
    </row>
    <row r="28" spans="1:2" x14ac:dyDescent="0.25">
      <c r="A28" t="s">
        <v>826</v>
      </c>
      <c r="B28" t="s">
        <v>807</v>
      </c>
    </row>
    <row r="29" spans="1:2" x14ac:dyDescent="0.25">
      <c r="A29" t="s">
        <v>827</v>
      </c>
      <c r="B29" t="s">
        <v>46</v>
      </c>
    </row>
    <row r="30" spans="1:2" x14ac:dyDescent="0.25">
      <c r="A30" t="s">
        <v>828</v>
      </c>
      <c r="B30" t="s">
        <v>46</v>
      </c>
    </row>
    <row r="32" spans="1:2" x14ac:dyDescent="0.25">
      <c r="A32" t="s">
        <v>829</v>
      </c>
      <c r="B32" t="s">
        <v>777</v>
      </c>
    </row>
    <row r="33" spans="1:2" x14ac:dyDescent="0.25">
      <c r="A33" t="s">
        <v>830</v>
      </c>
      <c r="B33" t="s">
        <v>809</v>
      </c>
    </row>
    <row r="34" spans="1:2" x14ac:dyDescent="0.25">
      <c r="A34" t="s">
        <v>831</v>
      </c>
      <c r="B34" t="s">
        <v>802</v>
      </c>
    </row>
    <row r="35" spans="1:2" x14ac:dyDescent="0.25">
      <c r="A35" t="s">
        <v>832</v>
      </c>
      <c r="B35" t="s">
        <v>807</v>
      </c>
    </row>
    <row r="36" spans="1:2" x14ac:dyDescent="0.25">
      <c r="A36" t="s">
        <v>901</v>
      </c>
      <c r="B36" t="s">
        <v>46</v>
      </c>
    </row>
    <row r="37" spans="1:2" x14ac:dyDescent="0.25">
      <c r="A37" t="s">
        <v>902</v>
      </c>
      <c r="B37" t="s">
        <v>46</v>
      </c>
    </row>
    <row r="39" spans="1:2" x14ac:dyDescent="0.25">
      <c r="A39" t="s">
        <v>833</v>
      </c>
      <c r="B39" t="s">
        <v>777</v>
      </c>
    </row>
    <row r="40" spans="1:2" x14ac:dyDescent="0.25">
      <c r="A40" t="s">
        <v>834</v>
      </c>
      <c r="B40" t="s">
        <v>802</v>
      </c>
    </row>
    <row r="41" spans="1:2" x14ac:dyDescent="0.25">
      <c r="A41" t="s">
        <v>835</v>
      </c>
      <c r="B41" t="s">
        <v>46</v>
      </c>
    </row>
    <row r="42" spans="1:2" x14ac:dyDescent="0.25">
      <c r="A42" t="s">
        <v>836</v>
      </c>
      <c r="B42" t="s">
        <v>46</v>
      </c>
    </row>
    <row r="44" spans="1:2" x14ac:dyDescent="0.25">
      <c r="A44" t="s">
        <v>903</v>
      </c>
      <c r="B44" t="s">
        <v>777</v>
      </c>
    </row>
    <row r="45" spans="1:2" x14ac:dyDescent="0.25">
      <c r="A45" t="s">
        <v>904</v>
      </c>
      <c r="B45" t="s">
        <v>802</v>
      </c>
    </row>
    <row r="46" spans="1:2" x14ac:dyDescent="0.25">
      <c r="A46" t="s">
        <v>905</v>
      </c>
      <c r="B46" t="s">
        <v>46</v>
      </c>
    </row>
    <row r="47" spans="1:2" x14ac:dyDescent="0.25">
      <c r="A47" t="s">
        <v>906</v>
      </c>
      <c r="B47" t="s">
        <v>46</v>
      </c>
    </row>
    <row r="48" spans="1:2" x14ac:dyDescent="0.25">
      <c r="A48" t="s">
        <v>907</v>
      </c>
      <c r="B48">
        <v>111</v>
      </c>
    </row>
    <row r="51" spans="1:2" x14ac:dyDescent="0.25">
      <c r="A51" t="s">
        <v>837</v>
      </c>
      <c r="B51" t="s">
        <v>665</v>
      </c>
    </row>
    <row r="52" spans="1:2" x14ac:dyDescent="0.25">
      <c r="A52" t="s">
        <v>838</v>
      </c>
      <c r="B52" t="s">
        <v>39</v>
      </c>
    </row>
    <row r="53" spans="1:2" x14ac:dyDescent="0.25">
      <c r="A53" t="s">
        <v>839</v>
      </c>
      <c r="B53" t="s">
        <v>46</v>
      </c>
    </row>
    <row r="54" spans="1:2" x14ac:dyDescent="0.25">
      <c r="A54" t="s">
        <v>840</v>
      </c>
      <c r="B54" t="s">
        <v>39</v>
      </c>
    </row>
    <row r="56" spans="1:2" x14ac:dyDescent="0.25">
      <c r="A56" t="s">
        <v>841</v>
      </c>
      <c r="B56" t="s">
        <v>717</v>
      </c>
    </row>
    <row r="57" spans="1:2" x14ac:dyDescent="0.25">
      <c r="A57" t="s">
        <v>842</v>
      </c>
      <c r="B57" t="s">
        <v>39</v>
      </c>
    </row>
    <row r="58" spans="1:2" x14ac:dyDescent="0.25">
      <c r="A58" t="s">
        <v>843</v>
      </c>
      <c r="B58" t="s">
        <v>46</v>
      </c>
    </row>
    <row r="59" spans="1:2" x14ac:dyDescent="0.25">
      <c r="A59" t="s">
        <v>844</v>
      </c>
      <c r="B59" t="s">
        <v>46</v>
      </c>
    </row>
    <row r="61" spans="1:2" x14ac:dyDescent="0.25">
      <c r="A61" t="s">
        <v>845</v>
      </c>
      <c r="B61" t="s">
        <v>803</v>
      </c>
    </row>
    <row r="62" spans="1:2" x14ac:dyDescent="0.25">
      <c r="A62" t="s">
        <v>846</v>
      </c>
      <c r="B62" t="s">
        <v>39</v>
      </c>
    </row>
    <row r="63" spans="1:2" x14ac:dyDescent="0.25">
      <c r="A63" t="s">
        <v>847</v>
      </c>
      <c r="B63" t="s">
        <v>46</v>
      </c>
    </row>
    <row r="64" spans="1:2" x14ac:dyDescent="0.25">
      <c r="A64" t="s">
        <v>848</v>
      </c>
      <c r="B64" t="s">
        <v>39</v>
      </c>
    </row>
    <row r="66" spans="1:2" x14ac:dyDescent="0.25">
      <c r="A66" t="s">
        <v>849</v>
      </c>
      <c r="B66" t="s">
        <v>719</v>
      </c>
    </row>
    <row r="67" spans="1:2" x14ac:dyDescent="0.25">
      <c r="A67" t="s">
        <v>850</v>
      </c>
      <c r="B67" t="s">
        <v>39</v>
      </c>
    </row>
    <row r="68" spans="1:2" x14ac:dyDescent="0.25">
      <c r="A68" t="s">
        <v>851</v>
      </c>
      <c r="B68" t="s">
        <v>46</v>
      </c>
    </row>
    <row r="69" spans="1:2" x14ac:dyDescent="0.25">
      <c r="A69" t="s">
        <v>852</v>
      </c>
      <c r="B69" t="s">
        <v>46</v>
      </c>
    </row>
    <row r="71" spans="1:2" x14ac:dyDescent="0.25">
      <c r="A71" t="s">
        <v>853</v>
      </c>
      <c r="B71" t="s">
        <v>665</v>
      </c>
    </row>
    <row r="72" spans="1:2" x14ac:dyDescent="0.25">
      <c r="A72" t="s">
        <v>854</v>
      </c>
      <c r="B72" t="s">
        <v>39</v>
      </c>
    </row>
    <row r="73" spans="1:2" x14ac:dyDescent="0.25">
      <c r="A73" t="s">
        <v>855</v>
      </c>
      <c r="B73" t="s">
        <v>46</v>
      </c>
    </row>
    <row r="74" spans="1:2" x14ac:dyDescent="0.25">
      <c r="A74" t="s">
        <v>856</v>
      </c>
      <c r="B74" t="s">
        <v>46</v>
      </c>
    </row>
    <row r="76" spans="1:2" x14ac:dyDescent="0.25">
      <c r="A76" t="s">
        <v>857</v>
      </c>
      <c r="B76" t="s">
        <v>803</v>
      </c>
    </row>
    <row r="77" spans="1:2" x14ac:dyDescent="0.25">
      <c r="A77" t="s">
        <v>858</v>
      </c>
      <c r="B77" t="s">
        <v>39</v>
      </c>
    </row>
    <row r="78" spans="1:2" x14ac:dyDescent="0.25">
      <c r="A78" t="s">
        <v>859</v>
      </c>
      <c r="B78" t="s">
        <v>46</v>
      </c>
    </row>
    <row r="79" spans="1:2" x14ac:dyDescent="0.25">
      <c r="A79" t="s">
        <v>860</v>
      </c>
      <c r="B79" t="s">
        <v>46</v>
      </c>
    </row>
    <row r="81" spans="1:2" x14ac:dyDescent="0.25">
      <c r="A81" t="s">
        <v>861</v>
      </c>
      <c r="B81" t="s">
        <v>803</v>
      </c>
    </row>
    <row r="82" spans="1:2" x14ac:dyDescent="0.25">
      <c r="A82" t="s">
        <v>862</v>
      </c>
      <c r="B82" t="s">
        <v>39</v>
      </c>
    </row>
    <row r="83" spans="1:2" x14ac:dyDescent="0.25">
      <c r="A83" t="s">
        <v>863</v>
      </c>
      <c r="B83" t="s">
        <v>46</v>
      </c>
    </row>
    <row r="84" spans="1:2" x14ac:dyDescent="0.25">
      <c r="A84" t="s">
        <v>864</v>
      </c>
      <c r="B84" t="s">
        <v>46</v>
      </c>
    </row>
    <row r="86" spans="1:2" x14ac:dyDescent="0.25">
      <c r="A86" t="s">
        <v>865</v>
      </c>
      <c r="B86" t="s">
        <v>803</v>
      </c>
    </row>
    <row r="87" spans="1:2" x14ac:dyDescent="0.25">
      <c r="A87" t="s">
        <v>866</v>
      </c>
      <c r="B87" t="s">
        <v>39</v>
      </c>
    </row>
    <row r="88" spans="1:2" x14ac:dyDescent="0.25">
      <c r="A88" t="s">
        <v>867</v>
      </c>
      <c r="B88" t="s">
        <v>46</v>
      </c>
    </row>
    <row r="89" spans="1:2" x14ac:dyDescent="0.25">
      <c r="A89" t="s">
        <v>868</v>
      </c>
      <c r="B89" t="s">
        <v>46</v>
      </c>
    </row>
    <row r="91" spans="1:2" x14ac:dyDescent="0.25">
      <c r="A91" t="s">
        <v>869</v>
      </c>
      <c r="B91" t="s">
        <v>719</v>
      </c>
    </row>
    <row r="92" spans="1:2" x14ac:dyDescent="0.25">
      <c r="A92" t="s">
        <v>870</v>
      </c>
      <c r="B92" t="s">
        <v>39</v>
      </c>
    </row>
    <row r="93" spans="1:2" x14ac:dyDescent="0.25">
      <c r="A93" t="s">
        <v>871</v>
      </c>
      <c r="B93" t="s">
        <v>46</v>
      </c>
    </row>
    <row r="94" spans="1:2" x14ac:dyDescent="0.25">
      <c r="A94" t="s">
        <v>872</v>
      </c>
      <c r="B94" t="s">
        <v>46</v>
      </c>
    </row>
    <row r="96" spans="1:2" x14ac:dyDescent="0.25">
      <c r="A96" t="s">
        <v>873</v>
      </c>
      <c r="B96" t="s">
        <v>665</v>
      </c>
    </row>
    <row r="97" spans="1:2" x14ac:dyDescent="0.25">
      <c r="A97" t="s">
        <v>874</v>
      </c>
      <c r="B97" t="s">
        <v>39</v>
      </c>
    </row>
    <row r="98" spans="1:2" x14ac:dyDescent="0.25">
      <c r="A98" t="s">
        <v>875</v>
      </c>
      <c r="B98" t="s">
        <v>46</v>
      </c>
    </row>
    <row r="99" spans="1:2" x14ac:dyDescent="0.25">
      <c r="A99" t="s">
        <v>876</v>
      </c>
      <c r="B99" t="s">
        <v>46</v>
      </c>
    </row>
    <row r="101" spans="1:2" x14ac:dyDescent="0.25">
      <c r="A101" t="s">
        <v>908</v>
      </c>
      <c r="B101" t="s">
        <v>665</v>
      </c>
    </row>
    <row r="102" spans="1:2" x14ac:dyDescent="0.25">
      <c r="A102" t="s">
        <v>909</v>
      </c>
      <c r="B102" t="s">
        <v>39</v>
      </c>
    </row>
    <row r="103" spans="1:2" x14ac:dyDescent="0.25">
      <c r="A103" t="s">
        <v>910</v>
      </c>
      <c r="B103" t="s">
        <v>46</v>
      </c>
    </row>
    <row r="104" spans="1:2" x14ac:dyDescent="0.25">
      <c r="A104" t="s">
        <v>911</v>
      </c>
      <c r="B104" t="s">
        <v>46</v>
      </c>
    </row>
    <row r="105" spans="1:2" x14ac:dyDescent="0.25">
      <c r="A105" t="s">
        <v>770</v>
      </c>
      <c r="B105">
        <v>26</v>
      </c>
    </row>
    <row r="106" spans="1:2" x14ac:dyDescent="0.25">
      <c r="A106" t="s">
        <v>771</v>
      </c>
      <c r="B106" t="s">
        <v>46</v>
      </c>
    </row>
    <row r="107" spans="1:2" x14ac:dyDescent="0.25">
      <c r="A107" t="s">
        <v>779</v>
      </c>
      <c r="B107" t="s">
        <v>46</v>
      </c>
    </row>
    <row r="108" spans="1:2" x14ac:dyDescent="0.25">
      <c r="A108" t="s">
        <v>780</v>
      </c>
      <c r="B108" t="s">
        <v>894</v>
      </c>
    </row>
    <row r="109" spans="1:2" x14ac:dyDescent="0.25">
      <c r="A109" t="s">
        <v>781</v>
      </c>
      <c r="B109" t="s">
        <v>46</v>
      </c>
    </row>
    <row r="110" spans="1:2" x14ac:dyDescent="0.25">
      <c r="A110" t="s">
        <v>782</v>
      </c>
      <c r="B110" t="s">
        <v>46</v>
      </c>
    </row>
    <row r="111" spans="1:2" x14ac:dyDescent="0.25">
      <c r="A111" t="s">
        <v>783</v>
      </c>
      <c r="B111" t="s">
        <v>46</v>
      </c>
    </row>
    <row r="112" spans="1:2" x14ac:dyDescent="0.25">
      <c r="A112" t="s">
        <v>912</v>
      </c>
      <c r="B112" t="s">
        <v>39</v>
      </c>
    </row>
    <row r="113" spans="1:2" x14ac:dyDescent="0.25">
      <c r="A113" t="s">
        <v>913</v>
      </c>
      <c r="B113" t="s">
        <v>46</v>
      </c>
    </row>
    <row r="114" spans="1:2" x14ac:dyDescent="0.25">
      <c r="A114" t="s">
        <v>914</v>
      </c>
      <c r="B114" t="s">
        <v>803</v>
      </c>
    </row>
    <row r="115" spans="1:2" x14ac:dyDescent="0.25">
      <c r="A115" t="s">
        <v>915</v>
      </c>
      <c r="B115" t="s">
        <v>46</v>
      </c>
    </row>
    <row r="116" spans="1:2" x14ac:dyDescent="0.25">
      <c r="A116" t="s">
        <v>877</v>
      </c>
      <c r="B116" t="s">
        <v>39</v>
      </c>
    </row>
    <row r="117" spans="1:2" x14ac:dyDescent="0.25">
      <c r="A117" t="s">
        <v>878</v>
      </c>
      <c r="B117" t="s">
        <v>894</v>
      </c>
    </row>
    <row r="118" spans="1:2" x14ac:dyDescent="0.25">
      <c r="A118" t="s">
        <v>879</v>
      </c>
      <c r="B118" t="s">
        <v>46</v>
      </c>
    </row>
    <row r="119" spans="1:2" x14ac:dyDescent="0.25">
      <c r="A119" t="s">
        <v>880</v>
      </c>
      <c r="B119" t="s">
        <v>803</v>
      </c>
    </row>
    <row r="120" spans="1:2" x14ac:dyDescent="0.25">
      <c r="A120" t="s">
        <v>881</v>
      </c>
      <c r="B120" t="s">
        <v>39</v>
      </c>
    </row>
    <row r="121" spans="1:2" x14ac:dyDescent="0.25">
      <c r="A121" t="s">
        <v>882</v>
      </c>
      <c r="B121" t="s">
        <v>894</v>
      </c>
    </row>
    <row r="123" spans="1:2" x14ac:dyDescent="0.25">
      <c r="A123" t="s">
        <v>883</v>
      </c>
      <c r="B123" t="s">
        <v>46</v>
      </c>
    </row>
    <row r="124" spans="1:2" x14ac:dyDescent="0.25">
      <c r="A124" t="s">
        <v>884</v>
      </c>
      <c r="B124" t="s">
        <v>39</v>
      </c>
    </row>
    <row r="125" spans="1:2" x14ac:dyDescent="0.25">
      <c r="A125" t="s">
        <v>885</v>
      </c>
      <c r="B125" t="s">
        <v>46</v>
      </c>
    </row>
    <row r="126" spans="1:2" x14ac:dyDescent="0.25">
      <c r="A126" t="s">
        <v>886</v>
      </c>
      <c r="B126" t="s">
        <v>39</v>
      </c>
    </row>
    <row r="127" spans="1:2" x14ac:dyDescent="0.25">
      <c r="A127" t="s">
        <v>916</v>
      </c>
      <c r="B127" t="s">
        <v>39</v>
      </c>
    </row>
    <row r="128" spans="1:2" x14ac:dyDescent="0.25">
      <c r="A128" t="s">
        <v>917</v>
      </c>
      <c r="B128" t="s">
        <v>46</v>
      </c>
    </row>
    <row r="129" spans="1:2" x14ac:dyDescent="0.25">
      <c r="A129" t="s">
        <v>918</v>
      </c>
      <c r="B129" t="s">
        <v>46</v>
      </c>
    </row>
    <row r="130" spans="1:2" x14ac:dyDescent="0.25">
      <c r="A130" t="s">
        <v>919</v>
      </c>
      <c r="B130" t="s">
        <v>46</v>
      </c>
    </row>
    <row r="131" spans="1:2" x14ac:dyDescent="0.25">
      <c r="A131" t="s">
        <v>920</v>
      </c>
      <c r="B131" t="s">
        <v>39</v>
      </c>
    </row>
    <row r="132" spans="1:2" x14ac:dyDescent="0.25">
      <c r="A132" t="s">
        <v>921</v>
      </c>
      <c r="B132" t="s">
        <v>39</v>
      </c>
    </row>
    <row r="133" spans="1:2" x14ac:dyDescent="0.25">
      <c r="A133" t="s">
        <v>922</v>
      </c>
      <c r="B133" t="s">
        <v>46</v>
      </c>
    </row>
    <row r="135" spans="1:2" x14ac:dyDescent="0.25">
      <c r="A135" t="s">
        <v>923</v>
      </c>
      <c r="B135" t="s">
        <v>46</v>
      </c>
    </row>
    <row r="136" spans="1:2" x14ac:dyDescent="0.25">
      <c r="A136" t="s">
        <v>924</v>
      </c>
      <c r="B136" t="s">
        <v>46</v>
      </c>
    </row>
    <row r="137" spans="1:2" x14ac:dyDescent="0.25">
      <c r="A137" t="s">
        <v>925</v>
      </c>
      <c r="B137" t="s">
        <v>46</v>
      </c>
    </row>
    <row r="138" spans="1:2" x14ac:dyDescent="0.25">
      <c r="A138" t="s">
        <v>926</v>
      </c>
      <c r="B138" t="s">
        <v>46</v>
      </c>
    </row>
    <row r="139" spans="1:2" x14ac:dyDescent="0.25">
      <c r="A139" t="s">
        <v>927</v>
      </c>
      <c r="B139" t="s">
        <v>39</v>
      </c>
    </row>
    <row r="141" spans="1:2" x14ac:dyDescent="0.25">
      <c r="A141" t="s">
        <v>928</v>
      </c>
      <c r="B141" t="s">
        <v>46</v>
      </c>
    </row>
    <row r="142" spans="1:2" x14ac:dyDescent="0.25">
      <c r="A142" t="s">
        <v>929</v>
      </c>
      <c r="B142" t="s">
        <v>46</v>
      </c>
    </row>
    <row r="143" spans="1:2" x14ac:dyDescent="0.25">
      <c r="A143" t="s">
        <v>930</v>
      </c>
      <c r="B143" t="s">
        <v>46</v>
      </c>
    </row>
    <row r="144" spans="1:2" x14ac:dyDescent="0.25">
      <c r="A144" t="s">
        <v>931</v>
      </c>
      <c r="B144" t="s">
        <v>46</v>
      </c>
    </row>
    <row r="145" spans="1:2" x14ac:dyDescent="0.25">
      <c r="A145" t="s">
        <v>932</v>
      </c>
      <c r="B145" t="s">
        <v>39</v>
      </c>
    </row>
    <row r="146" spans="1:2" x14ac:dyDescent="0.25">
      <c r="A146" t="s">
        <v>933</v>
      </c>
      <c r="B146" t="s">
        <v>46</v>
      </c>
    </row>
    <row r="147" spans="1:2" x14ac:dyDescent="0.25">
      <c r="A147" t="s">
        <v>934</v>
      </c>
      <c r="B147" t="s">
        <v>46</v>
      </c>
    </row>
    <row r="148" spans="1:2" x14ac:dyDescent="0.25">
      <c r="A148" t="s">
        <v>935</v>
      </c>
      <c r="B148" t="s">
        <v>46</v>
      </c>
    </row>
    <row r="149" spans="1:2" x14ac:dyDescent="0.25">
      <c r="A149" t="s">
        <v>936</v>
      </c>
      <c r="B149" t="s">
        <v>46</v>
      </c>
    </row>
    <row r="150" spans="1:2" x14ac:dyDescent="0.25">
      <c r="A150" t="s">
        <v>937</v>
      </c>
      <c r="B150" t="s">
        <v>46</v>
      </c>
    </row>
    <row r="151" spans="1:2" x14ac:dyDescent="0.25">
      <c r="A151" t="s">
        <v>938</v>
      </c>
      <c r="B151" t="s">
        <v>46</v>
      </c>
    </row>
    <row r="152" spans="1:2" x14ac:dyDescent="0.25">
      <c r="A152" t="s">
        <v>939</v>
      </c>
      <c r="B152" t="s">
        <v>46</v>
      </c>
    </row>
    <row r="153" spans="1:2" x14ac:dyDescent="0.25">
      <c r="A153" t="s">
        <v>940</v>
      </c>
      <c r="B153" t="s">
        <v>46</v>
      </c>
    </row>
    <row r="154" spans="1:2" x14ac:dyDescent="0.25">
      <c r="A154" t="s">
        <v>941</v>
      </c>
      <c r="B154" t="s">
        <v>46</v>
      </c>
    </row>
    <row r="155" spans="1:2" x14ac:dyDescent="0.25">
      <c r="A155" t="s">
        <v>942</v>
      </c>
      <c r="B155" t="s">
        <v>46</v>
      </c>
    </row>
    <row r="156" spans="1:2" x14ac:dyDescent="0.25">
      <c r="A156" t="s">
        <v>943</v>
      </c>
      <c r="B156" t="s">
        <v>46</v>
      </c>
    </row>
    <row r="157" spans="1:2" x14ac:dyDescent="0.25">
      <c r="A157" t="s">
        <v>944</v>
      </c>
      <c r="B157" t="s">
        <v>39</v>
      </c>
    </row>
    <row r="158" spans="1:2" x14ac:dyDescent="0.25">
      <c r="A158" t="s">
        <v>945</v>
      </c>
      <c r="B158" t="s">
        <v>46</v>
      </c>
    </row>
    <row r="159" spans="1:2" x14ac:dyDescent="0.25">
      <c r="A159" t="s">
        <v>946</v>
      </c>
      <c r="B159" t="s">
        <v>46</v>
      </c>
    </row>
    <row r="160" spans="1:2" x14ac:dyDescent="0.25">
      <c r="A160" t="s">
        <v>947</v>
      </c>
      <c r="B160" t="s">
        <v>46</v>
      </c>
    </row>
    <row r="161" spans="1:2" x14ac:dyDescent="0.25">
      <c r="A161" t="s">
        <v>948</v>
      </c>
      <c r="B161" t="s">
        <v>46</v>
      </c>
    </row>
    <row r="162" spans="1:2" x14ac:dyDescent="0.25">
      <c r="A162" t="s">
        <v>949</v>
      </c>
      <c r="B162" t="s">
        <v>46</v>
      </c>
    </row>
    <row r="163" spans="1:2" x14ac:dyDescent="0.25">
      <c r="A163" t="s">
        <v>950</v>
      </c>
      <c r="B163" t="s">
        <v>46</v>
      </c>
    </row>
    <row r="164" spans="1:2" x14ac:dyDescent="0.25">
      <c r="A164" t="s">
        <v>951</v>
      </c>
      <c r="B164" t="s">
        <v>46</v>
      </c>
    </row>
    <row r="165" spans="1:2" x14ac:dyDescent="0.25">
      <c r="A165" t="s">
        <v>952</v>
      </c>
      <c r="B165" t="s">
        <v>46</v>
      </c>
    </row>
    <row r="166" spans="1:2" x14ac:dyDescent="0.25">
      <c r="A166" t="s">
        <v>953</v>
      </c>
      <c r="B166" t="s">
        <v>46</v>
      </c>
    </row>
    <row r="167" spans="1:2" x14ac:dyDescent="0.25">
      <c r="A167" t="s">
        <v>954</v>
      </c>
      <c r="B167" t="s">
        <v>46</v>
      </c>
    </row>
    <row r="168" spans="1:2" x14ac:dyDescent="0.25">
      <c r="A168" t="s">
        <v>955</v>
      </c>
      <c r="B168" t="s">
        <v>46</v>
      </c>
    </row>
    <row r="169" spans="1:2" x14ac:dyDescent="0.25">
      <c r="A169" t="s">
        <v>956</v>
      </c>
      <c r="B169" t="s">
        <v>46</v>
      </c>
    </row>
    <row r="170" spans="1:2" x14ac:dyDescent="0.25">
      <c r="A170" t="s">
        <v>957</v>
      </c>
      <c r="B170" t="s">
        <v>46</v>
      </c>
    </row>
    <row r="171" spans="1:2" x14ac:dyDescent="0.25">
      <c r="A171" t="s">
        <v>958</v>
      </c>
      <c r="B171" t="s">
        <v>46</v>
      </c>
    </row>
    <row r="172" spans="1:2" x14ac:dyDescent="0.25">
      <c r="A172" t="s">
        <v>959</v>
      </c>
      <c r="B172" t="s">
        <v>46</v>
      </c>
    </row>
    <row r="173" spans="1:2" x14ac:dyDescent="0.25">
      <c r="A173" t="s">
        <v>960</v>
      </c>
      <c r="B173" t="s">
        <v>46</v>
      </c>
    </row>
    <row r="174" spans="1:2" x14ac:dyDescent="0.25">
      <c r="A174" t="s">
        <v>961</v>
      </c>
      <c r="B174" t="s">
        <v>46</v>
      </c>
    </row>
    <row r="175" spans="1:2" x14ac:dyDescent="0.25">
      <c r="A175" t="s">
        <v>962</v>
      </c>
      <c r="B175" t="s">
        <v>46</v>
      </c>
    </row>
    <row r="176" spans="1:2" x14ac:dyDescent="0.25">
      <c r="A176" t="s">
        <v>963</v>
      </c>
      <c r="B176" t="s">
        <v>46</v>
      </c>
    </row>
    <row r="177" spans="1:2" x14ac:dyDescent="0.25">
      <c r="A177" t="s">
        <v>964</v>
      </c>
      <c r="B177" t="s">
        <v>46</v>
      </c>
    </row>
    <row r="178" spans="1:2" x14ac:dyDescent="0.25">
      <c r="A178" t="s">
        <v>965</v>
      </c>
      <c r="B178" t="s">
        <v>46</v>
      </c>
    </row>
    <row r="179" spans="1:2" x14ac:dyDescent="0.25">
      <c r="A179" t="s">
        <v>966</v>
      </c>
      <c r="B179" t="s">
        <v>46</v>
      </c>
    </row>
    <row r="180" spans="1:2" x14ac:dyDescent="0.25">
      <c r="A180" t="s">
        <v>967</v>
      </c>
      <c r="B180" t="s">
        <v>46</v>
      </c>
    </row>
    <row r="181" spans="1:2" x14ac:dyDescent="0.25">
      <c r="A181" t="s">
        <v>968</v>
      </c>
      <c r="B181" t="s">
        <v>46</v>
      </c>
    </row>
    <row r="182" spans="1:2" x14ac:dyDescent="0.25">
      <c r="A182" t="s">
        <v>969</v>
      </c>
      <c r="B182" t="s">
        <v>39</v>
      </c>
    </row>
    <row r="183" spans="1:2" x14ac:dyDescent="0.25">
      <c r="A183" t="s">
        <v>970</v>
      </c>
      <c r="B183" t="s">
        <v>46</v>
      </c>
    </row>
    <row r="184" spans="1:2" x14ac:dyDescent="0.25">
      <c r="A184" t="s">
        <v>971</v>
      </c>
      <c r="B184" t="s">
        <v>46</v>
      </c>
    </row>
    <row r="185" spans="1:2" x14ac:dyDescent="0.25">
      <c r="A185" t="s">
        <v>972</v>
      </c>
      <c r="B185" t="s">
        <v>46</v>
      </c>
    </row>
    <row r="186" spans="1:2" x14ac:dyDescent="0.25">
      <c r="A186" t="s">
        <v>973</v>
      </c>
      <c r="B186" t="s">
        <v>46</v>
      </c>
    </row>
    <row r="187" spans="1:2" x14ac:dyDescent="0.25">
      <c r="A187" t="s">
        <v>974</v>
      </c>
      <c r="B187" t="s">
        <v>46</v>
      </c>
    </row>
  </sheetData>
  <autoFilter ref="A1:A18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I2"/>
  <sheetViews>
    <sheetView workbookViewId="0">
      <selection activeCell="H13" sqref="H13"/>
    </sheetView>
  </sheetViews>
  <sheetFormatPr defaultColWidth="9.140625" defaultRowHeight="15" x14ac:dyDescent="0.25"/>
  <cols>
    <col min="1" max="7" width="9.140625" style="1"/>
    <col min="8" max="8" width="10.5703125" style="1" bestFit="1" customWidth="1"/>
    <col min="9" max="16384" width="9.140625" style="1"/>
  </cols>
  <sheetData>
    <row r="1" spans="1:165" x14ac:dyDescent="0.25">
      <c r="A1" s="1" t="s">
        <v>650</v>
      </c>
      <c r="B1" s="1" t="s">
        <v>651</v>
      </c>
      <c r="C1" s="1" t="s">
        <v>652</v>
      </c>
      <c r="D1" s="1" t="s">
        <v>975</v>
      </c>
      <c r="E1" s="1" t="s">
        <v>760</v>
      </c>
      <c r="F1" s="1" t="s">
        <v>761</v>
      </c>
      <c r="G1" s="1" t="s">
        <v>762</v>
      </c>
      <c r="H1" s="1" t="s">
        <v>763</v>
      </c>
      <c r="I1" s="1" t="s">
        <v>764</v>
      </c>
      <c r="J1" s="1" t="s">
        <v>765</v>
      </c>
      <c r="K1" s="1" t="s">
        <v>766</v>
      </c>
      <c r="L1" s="1" t="s">
        <v>767</v>
      </c>
      <c r="M1" s="1" t="s">
        <v>768</v>
      </c>
      <c r="N1" s="1" t="s">
        <v>778</v>
      </c>
      <c r="O1" s="1" t="s">
        <v>769</v>
      </c>
      <c r="P1" s="1" t="s">
        <v>900</v>
      </c>
      <c r="Q1" s="1" t="s">
        <v>819</v>
      </c>
      <c r="R1" s="1" t="s">
        <v>820</v>
      </c>
      <c r="S1" s="1" t="s">
        <v>821</v>
      </c>
      <c r="T1" s="1" t="s">
        <v>822</v>
      </c>
      <c r="U1" s="1" t="s">
        <v>823</v>
      </c>
      <c r="V1" s="1" t="s">
        <v>824</v>
      </c>
      <c r="W1" s="1" t="s">
        <v>825</v>
      </c>
      <c r="X1" s="1" t="s">
        <v>826</v>
      </c>
      <c r="Y1" s="1" t="s">
        <v>827</v>
      </c>
      <c r="Z1" s="1" t="s">
        <v>828</v>
      </c>
      <c r="AA1" s="1" t="s">
        <v>829</v>
      </c>
      <c r="AB1" s="1" t="s">
        <v>830</v>
      </c>
      <c r="AC1" s="1" t="s">
        <v>831</v>
      </c>
      <c r="AD1" s="1" t="s">
        <v>832</v>
      </c>
      <c r="AE1" s="1" t="s">
        <v>901</v>
      </c>
      <c r="AF1" s="1" t="s">
        <v>902</v>
      </c>
      <c r="AG1" s="1" t="s">
        <v>833</v>
      </c>
      <c r="AH1" s="1" t="s">
        <v>834</v>
      </c>
      <c r="AI1" s="1" t="s">
        <v>835</v>
      </c>
      <c r="AJ1" s="1" t="s">
        <v>836</v>
      </c>
      <c r="AK1" s="1" t="s">
        <v>903</v>
      </c>
      <c r="AL1" s="1" t="s">
        <v>904</v>
      </c>
      <c r="AM1" s="1" t="s">
        <v>905</v>
      </c>
      <c r="AN1" s="1" t="s">
        <v>906</v>
      </c>
      <c r="AO1" s="1" t="s">
        <v>907</v>
      </c>
      <c r="AP1" s="1" t="s">
        <v>837</v>
      </c>
      <c r="AQ1" s="1" t="s">
        <v>838</v>
      </c>
      <c r="AR1" s="1" t="s">
        <v>839</v>
      </c>
      <c r="AS1" s="1" t="s">
        <v>840</v>
      </c>
      <c r="AT1" s="1" t="s">
        <v>841</v>
      </c>
      <c r="AU1" s="1" t="s">
        <v>842</v>
      </c>
      <c r="AV1" s="1" t="s">
        <v>843</v>
      </c>
      <c r="AW1" s="1" t="s">
        <v>844</v>
      </c>
      <c r="AX1" s="1" t="s">
        <v>845</v>
      </c>
      <c r="AY1" s="1" t="s">
        <v>846</v>
      </c>
      <c r="AZ1" s="1" t="s">
        <v>847</v>
      </c>
      <c r="BA1" s="1" t="s">
        <v>848</v>
      </c>
      <c r="BB1" s="1" t="s">
        <v>849</v>
      </c>
      <c r="BC1" s="1" t="s">
        <v>850</v>
      </c>
      <c r="BD1" s="1" t="s">
        <v>851</v>
      </c>
      <c r="BE1" s="1" t="s">
        <v>852</v>
      </c>
      <c r="BF1" s="1" t="s">
        <v>853</v>
      </c>
      <c r="BG1" s="1" t="s">
        <v>854</v>
      </c>
      <c r="BH1" s="1" t="s">
        <v>855</v>
      </c>
      <c r="BI1" s="1" t="s">
        <v>856</v>
      </c>
      <c r="BJ1" s="1" t="s">
        <v>857</v>
      </c>
      <c r="BK1" s="1" t="s">
        <v>858</v>
      </c>
      <c r="BL1" s="1" t="s">
        <v>859</v>
      </c>
      <c r="BM1" s="1" t="s">
        <v>860</v>
      </c>
      <c r="BN1" s="1" t="s">
        <v>861</v>
      </c>
      <c r="BO1" s="1" t="s">
        <v>862</v>
      </c>
      <c r="BP1" s="1" t="s">
        <v>863</v>
      </c>
      <c r="BQ1" s="1" t="s">
        <v>864</v>
      </c>
      <c r="BR1" s="1" t="s">
        <v>865</v>
      </c>
      <c r="BS1" s="1" t="s">
        <v>866</v>
      </c>
      <c r="BT1" s="1" t="s">
        <v>867</v>
      </c>
      <c r="BU1" s="1" t="s">
        <v>868</v>
      </c>
      <c r="BV1" s="1" t="s">
        <v>869</v>
      </c>
      <c r="BW1" s="1" t="s">
        <v>870</v>
      </c>
      <c r="BX1" s="1" t="s">
        <v>871</v>
      </c>
      <c r="BY1" s="1" t="s">
        <v>872</v>
      </c>
      <c r="BZ1" s="1" t="s">
        <v>873</v>
      </c>
      <c r="CA1" s="1" t="s">
        <v>874</v>
      </c>
      <c r="CB1" s="1" t="s">
        <v>875</v>
      </c>
      <c r="CC1" s="1" t="s">
        <v>876</v>
      </c>
      <c r="CD1" s="1" t="s">
        <v>908</v>
      </c>
      <c r="CE1" s="1" t="s">
        <v>909</v>
      </c>
      <c r="CF1" s="1" t="s">
        <v>910</v>
      </c>
      <c r="CG1" s="1" t="s">
        <v>911</v>
      </c>
      <c r="CH1" s="1" t="s">
        <v>770</v>
      </c>
      <c r="CI1" s="1" t="s">
        <v>771</v>
      </c>
      <c r="CJ1" s="1" t="s">
        <v>779</v>
      </c>
      <c r="CK1" s="1" t="s">
        <v>780</v>
      </c>
      <c r="CL1" s="1" t="s">
        <v>781</v>
      </c>
      <c r="CM1" s="1" t="s">
        <v>782</v>
      </c>
      <c r="CN1" s="1" t="s">
        <v>783</v>
      </c>
      <c r="CO1" s="1" t="s">
        <v>912</v>
      </c>
      <c r="CP1" s="1" t="s">
        <v>913</v>
      </c>
      <c r="CQ1" s="1" t="s">
        <v>914</v>
      </c>
      <c r="CR1" s="1" t="s">
        <v>915</v>
      </c>
      <c r="CS1" s="1" t="s">
        <v>877</v>
      </c>
      <c r="CT1" s="1" t="s">
        <v>878</v>
      </c>
      <c r="CU1" s="1" t="s">
        <v>879</v>
      </c>
      <c r="CV1" s="1" t="s">
        <v>880</v>
      </c>
      <c r="CW1" s="1" t="s">
        <v>881</v>
      </c>
      <c r="CX1" s="1" t="s">
        <v>882</v>
      </c>
      <c r="CY1" s="1" t="s">
        <v>883</v>
      </c>
      <c r="CZ1" s="1" t="s">
        <v>884</v>
      </c>
      <c r="DA1" s="1" t="s">
        <v>885</v>
      </c>
      <c r="DB1" s="1" t="s">
        <v>886</v>
      </c>
      <c r="DC1" s="1" t="s">
        <v>916</v>
      </c>
      <c r="DD1" s="1" t="s">
        <v>917</v>
      </c>
      <c r="DE1" s="1" t="s">
        <v>918</v>
      </c>
      <c r="DF1" s="1" t="s">
        <v>919</v>
      </c>
      <c r="DG1" s="1" t="s">
        <v>920</v>
      </c>
      <c r="DH1" s="1" t="s">
        <v>921</v>
      </c>
      <c r="DI1" s="1" t="s">
        <v>922</v>
      </c>
      <c r="DJ1" s="1" t="s">
        <v>923</v>
      </c>
      <c r="DK1" s="1" t="s">
        <v>924</v>
      </c>
      <c r="DL1" s="1" t="s">
        <v>925</v>
      </c>
      <c r="DM1" s="1" t="s">
        <v>926</v>
      </c>
      <c r="DN1" s="1" t="s">
        <v>927</v>
      </c>
      <c r="DO1" s="1" t="s">
        <v>928</v>
      </c>
      <c r="DP1" s="1" t="s">
        <v>929</v>
      </c>
      <c r="DQ1" s="1" t="s">
        <v>930</v>
      </c>
      <c r="DR1" s="1" t="s">
        <v>931</v>
      </c>
      <c r="DS1" s="1" t="s">
        <v>932</v>
      </c>
      <c r="DT1" s="1" t="s">
        <v>933</v>
      </c>
      <c r="DU1" s="1" t="s">
        <v>934</v>
      </c>
      <c r="DV1" s="1" t="s">
        <v>935</v>
      </c>
      <c r="DW1" s="1" t="s">
        <v>936</v>
      </c>
      <c r="DX1" s="1" t="s">
        <v>937</v>
      </c>
      <c r="DY1" s="1" t="s">
        <v>938</v>
      </c>
      <c r="DZ1" s="1" t="s">
        <v>939</v>
      </c>
      <c r="EA1" s="1" t="s">
        <v>940</v>
      </c>
      <c r="EB1" s="1" t="s">
        <v>941</v>
      </c>
      <c r="EC1" s="1" t="s">
        <v>942</v>
      </c>
      <c r="ED1" s="1" t="s">
        <v>943</v>
      </c>
      <c r="EE1" s="1" t="s">
        <v>944</v>
      </c>
      <c r="EF1" s="1" t="s">
        <v>945</v>
      </c>
      <c r="EG1" s="1" t="s">
        <v>946</v>
      </c>
      <c r="EH1" s="1" t="s">
        <v>947</v>
      </c>
      <c r="EI1" s="1" t="s">
        <v>948</v>
      </c>
      <c r="EJ1" s="1" t="s">
        <v>949</v>
      </c>
      <c r="EK1" s="1" t="s">
        <v>950</v>
      </c>
      <c r="EL1" s="1" t="s">
        <v>951</v>
      </c>
      <c r="EM1" s="1" t="s">
        <v>952</v>
      </c>
      <c r="EN1" s="1" t="s">
        <v>953</v>
      </c>
      <c r="EO1" s="1" t="s">
        <v>954</v>
      </c>
      <c r="EP1" s="1" t="s">
        <v>955</v>
      </c>
      <c r="EQ1" s="1" t="s">
        <v>956</v>
      </c>
      <c r="ER1" s="1" t="s">
        <v>957</v>
      </c>
      <c r="ES1" s="1" t="s">
        <v>958</v>
      </c>
      <c r="ET1" s="1" t="s">
        <v>959</v>
      </c>
      <c r="EU1" s="1" t="s">
        <v>960</v>
      </c>
      <c r="EV1" s="1" t="s">
        <v>961</v>
      </c>
      <c r="EW1" s="1" t="s">
        <v>962</v>
      </c>
      <c r="EX1" s="1" t="s">
        <v>963</v>
      </c>
      <c r="EY1" s="1" t="s">
        <v>964</v>
      </c>
      <c r="EZ1" s="1" t="s">
        <v>965</v>
      </c>
      <c r="FA1" s="1" t="s">
        <v>966</v>
      </c>
      <c r="FB1" s="1" t="s">
        <v>967</v>
      </c>
      <c r="FC1" s="1" t="s">
        <v>968</v>
      </c>
      <c r="FD1" s="1" t="s">
        <v>969</v>
      </c>
      <c r="FE1" s="1" t="s">
        <v>970</v>
      </c>
      <c r="FF1" s="1" t="s">
        <v>971</v>
      </c>
      <c r="FG1" s="1" t="s">
        <v>972</v>
      </c>
      <c r="FH1" s="1" t="s">
        <v>973</v>
      </c>
      <c r="FI1" s="1" t="s">
        <v>974</v>
      </c>
    </row>
    <row r="2" spans="1:165" x14ac:dyDescent="0.25">
      <c r="A2" s="1" t="s">
        <v>706</v>
      </c>
      <c r="B2" s="1">
        <v>2015</v>
      </c>
      <c r="C2" s="1" t="s">
        <v>888</v>
      </c>
      <c r="D2" s="1" t="s">
        <v>889</v>
      </c>
      <c r="E2" s="1" t="s">
        <v>46</v>
      </c>
      <c r="F2" s="1" t="s">
        <v>46</v>
      </c>
      <c r="G2" s="1" t="s">
        <v>46</v>
      </c>
      <c r="H2" s="1" t="s">
        <v>46</v>
      </c>
      <c r="I2" s="1" t="s">
        <v>46</v>
      </c>
      <c r="J2" s="1" t="s">
        <v>11</v>
      </c>
      <c r="K2" s="1" t="s">
        <v>897</v>
      </c>
      <c r="L2" s="1" t="s">
        <v>890</v>
      </c>
      <c r="M2" s="1" t="s">
        <v>46</v>
      </c>
      <c r="N2" s="1" t="s">
        <v>14</v>
      </c>
      <c r="O2" s="1">
        <v>7.2</v>
      </c>
      <c r="P2" s="1">
        <v>203</v>
      </c>
      <c r="Q2" s="1" t="s">
        <v>777</v>
      </c>
      <c r="R2" s="1" t="s">
        <v>802</v>
      </c>
      <c r="S2" s="1" t="s">
        <v>807</v>
      </c>
      <c r="T2" s="1" t="s">
        <v>46</v>
      </c>
      <c r="U2" s="1" t="s">
        <v>46</v>
      </c>
      <c r="V2" s="1" t="s">
        <v>777</v>
      </c>
      <c r="W2" s="1" t="s">
        <v>802</v>
      </c>
      <c r="X2" s="1" t="s">
        <v>807</v>
      </c>
      <c r="Y2" s="1" t="s">
        <v>46</v>
      </c>
      <c r="Z2" s="1" t="s">
        <v>46</v>
      </c>
      <c r="AA2" s="1" t="s">
        <v>777</v>
      </c>
      <c r="AB2" s="1" t="s">
        <v>809</v>
      </c>
      <c r="AC2" s="1" t="s">
        <v>802</v>
      </c>
      <c r="AD2" s="1" t="s">
        <v>807</v>
      </c>
      <c r="AE2" s="1" t="s">
        <v>46</v>
      </c>
      <c r="AF2" s="1" t="s">
        <v>46</v>
      </c>
      <c r="AG2" s="1" t="s">
        <v>777</v>
      </c>
      <c r="AH2" s="1" t="s">
        <v>802</v>
      </c>
      <c r="AI2" s="1" t="s">
        <v>46</v>
      </c>
      <c r="AJ2" s="1" t="s">
        <v>46</v>
      </c>
      <c r="AK2" s="1" t="s">
        <v>777</v>
      </c>
      <c r="AL2" s="1" t="s">
        <v>802</v>
      </c>
      <c r="AM2" s="1" t="s">
        <v>46</v>
      </c>
      <c r="AN2" s="1" t="s">
        <v>46</v>
      </c>
      <c r="AO2" s="1">
        <v>111</v>
      </c>
      <c r="AP2" s="1" t="s">
        <v>665</v>
      </c>
      <c r="AQ2" s="1" t="s">
        <v>39</v>
      </c>
      <c r="AR2" s="1" t="s">
        <v>46</v>
      </c>
      <c r="AS2" s="1" t="s">
        <v>39</v>
      </c>
      <c r="AT2" s="1" t="s">
        <v>717</v>
      </c>
      <c r="AU2" s="1" t="s">
        <v>39</v>
      </c>
      <c r="AV2" s="1" t="s">
        <v>46</v>
      </c>
      <c r="AW2" s="1" t="s">
        <v>46</v>
      </c>
      <c r="AX2" s="1" t="s">
        <v>803</v>
      </c>
      <c r="AY2" s="1" t="s">
        <v>39</v>
      </c>
      <c r="AZ2" s="1" t="s">
        <v>46</v>
      </c>
      <c r="BA2" s="1" t="s">
        <v>39</v>
      </c>
      <c r="BB2" s="1" t="s">
        <v>719</v>
      </c>
      <c r="BC2" s="1" t="s">
        <v>39</v>
      </c>
      <c r="BD2" s="1" t="s">
        <v>46</v>
      </c>
      <c r="BE2" s="1" t="s">
        <v>46</v>
      </c>
      <c r="BF2" s="1" t="s">
        <v>665</v>
      </c>
      <c r="BG2" s="1" t="s">
        <v>39</v>
      </c>
      <c r="BH2" s="1" t="s">
        <v>46</v>
      </c>
      <c r="BI2" s="1" t="s">
        <v>46</v>
      </c>
      <c r="BJ2" s="1" t="s">
        <v>803</v>
      </c>
      <c r="BK2" s="1" t="s">
        <v>39</v>
      </c>
      <c r="BL2" s="1" t="s">
        <v>46</v>
      </c>
      <c r="BM2" s="1" t="s">
        <v>46</v>
      </c>
      <c r="BN2" s="1" t="s">
        <v>803</v>
      </c>
      <c r="BO2" s="1" t="s">
        <v>39</v>
      </c>
      <c r="BP2" s="1" t="s">
        <v>46</v>
      </c>
      <c r="BQ2" s="1" t="s">
        <v>46</v>
      </c>
      <c r="BR2" s="1" t="s">
        <v>803</v>
      </c>
      <c r="BS2" s="1" t="s">
        <v>39</v>
      </c>
      <c r="BT2" s="1" t="s">
        <v>46</v>
      </c>
      <c r="BU2" s="1" t="s">
        <v>46</v>
      </c>
      <c r="BV2" s="1" t="s">
        <v>719</v>
      </c>
      <c r="BW2" s="1" t="s">
        <v>39</v>
      </c>
      <c r="BX2" s="1" t="s">
        <v>46</v>
      </c>
      <c r="BY2" s="1" t="s">
        <v>46</v>
      </c>
      <c r="BZ2" s="1" t="s">
        <v>665</v>
      </c>
      <c r="CA2" s="1" t="s">
        <v>39</v>
      </c>
      <c r="CB2" s="1" t="s">
        <v>46</v>
      </c>
      <c r="CC2" s="1" t="s">
        <v>46</v>
      </c>
      <c r="CD2" s="1" t="s">
        <v>665</v>
      </c>
      <c r="CE2" s="1" t="s">
        <v>39</v>
      </c>
      <c r="CF2" s="1" t="s">
        <v>46</v>
      </c>
      <c r="CG2" s="1" t="s">
        <v>46</v>
      </c>
      <c r="CH2" s="1">
        <v>26</v>
      </c>
      <c r="CI2" s="1" t="s">
        <v>46</v>
      </c>
      <c r="CJ2" s="1" t="s">
        <v>46</v>
      </c>
      <c r="CK2" s="1" t="s">
        <v>894</v>
      </c>
      <c r="CL2" s="1" t="s">
        <v>46</v>
      </c>
      <c r="CM2" s="1" t="s">
        <v>46</v>
      </c>
      <c r="CN2" s="1" t="s">
        <v>46</v>
      </c>
      <c r="CO2" s="1" t="s">
        <v>39</v>
      </c>
      <c r="CP2" s="1" t="s">
        <v>46</v>
      </c>
      <c r="CQ2" s="1" t="s">
        <v>803</v>
      </c>
      <c r="CR2" s="1" t="s">
        <v>46</v>
      </c>
      <c r="CS2" s="1" t="s">
        <v>39</v>
      </c>
      <c r="CT2" s="1" t="s">
        <v>894</v>
      </c>
      <c r="CU2" s="1" t="s">
        <v>46</v>
      </c>
      <c r="CV2" s="1" t="s">
        <v>803</v>
      </c>
      <c r="CW2" s="1" t="s">
        <v>39</v>
      </c>
      <c r="CX2" s="1" t="s">
        <v>894</v>
      </c>
      <c r="CY2" s="1" t="s">
        <v>46</v>
      </c>
      <c r="CZ2" s="1" t="s">
        <v>39</v>
      </c>
      <c r="DA2" s="1" t="s">
        <v>46</v>
      </c>
      <c r="DB2" s="1" t="s">
        <v>39</v>
      </c>
      <c r="DC2" s="1" t="s">
        <v>39</v>
      </c>
      <c r="DD2" s="1" t="s">
        <v>46</v>
      </c>
      <c r="DE2" s="1" t="s">
        <v>46</v>
      </c>
      <c r="DF2" s="1" t="s">
        <v>46</v>
      </c>
      <c r="DG2" s="1" t="s">
        <v>39</v>
      </c>
      <c r="DH2" s="1" t="s">
        <v>39</v>
      </c>
      <c r="DI2" s="1" t="s">
        <v>46</v>
      </c>
      <c r="DJ2" s="1" t="s">
        <v>46</v>
      </c>
      <c r="DK2" s="1" t="s">
        <v>46</v>
      </c>
      <c r="DL2" s="1" t="s">
        <v>46</v>
      </c>
      <c r="DM2" s="1" t="s">
        <v>46</v>
      </c>
      <c r="DN2" s="1" t="s">
        <v>39</v>
      </c>
      <c r="DO2" s="1" t="s">
        <v>46</v>
      </c>
      <c r="DP2" s="1" t="s">
        <v>46</v>
      </c>
      <c r="DQ2" s="1" t="s">
        <v>46</v>
      </c>
      <c r="DR2" s="1" t="s">
        <v>46</v>
      </c>
      <c r="DS2" s="1" t="s">
        <v>39</v>
      </c>
      <c r="DT2" s="1" t="s">
        <v>46</v>
      </c>
      <c r="DU2" s="1" t="s">
        <v>46</v>
      </c>
      <c r="DV2" s="1" t="s">
        <v>46</v>
      </c>
      <c r="DW2" s="1" t="s">
        <v>46</v>
      </c>
      <c r="DX2" s="1" t="s">
        <v>46</v>
      </c>
      <c r="DY2" s="1" t="s">
        <v>46</v>
      </c>
      <c r="DZ2" s="1" t="s">
        <v>46</v>
      </c>
      <c r="EA2" s="1" t="s">
        <v>46</v>
      </c>
      <c r="EB2" s="1" t="s">
        <v>46</v>
      </c>
      <c r="EC2" s="1" t="s">
        <v>46</v>
      </c>
      <c r="ED2" s="1" t="s">
        <v>46</v>
      </c>
      <c r="EE2" s="1" t="s">
        <v>39</v>
      </c>
      <c r="EF2" s="1" t="s">
        <v>46</v>
      </c>
      <c r="EG2" s="1" t="s">
        <v>46</v>
      </c>
      <c r="EH2" s="1" t="s">
        <v>46</v>
      </c>
      <c r="EI2" s="1" t="s">
        <v>46</v>
      </c>
      <c r="EJ2" s="1" t="s">
        <v>46</v>
      </c>
      <c r="EK2" s="1" t="s">
        <v>46</v>
      </c>
      <c r="EL2" s="1" t="s">
        <v>46</v>
      </c>
      <c r="EM2" s="1" t="s">
        <v>46</v>
      </c>
      <c r="EN2" s="1" t="s">
        <v>46</v>
      </c>
      <c r="EO2" s="1" t="s">
        <v>46</v>
      </c>
      <c r="EP2" s="1" t="s">
        <v>46</v>
      </c>
      <c r="EQ2" s="1" t="s">
        <v>46</v>
      </c>
      <c r="ER2" s="1" t="s">
        <v>46</v>
      </c>
      <c r="ES2" s="1" t="s">
        <v>46</v>
      </c>
      <c r="ET2" s="1" t="s">
        <v>46</v>
      </c>
      <c r="EU2" s="1" t="s">
        <v>46</v>
      </c>
      <c r="EV2" s="1" t="s">
        <v>46</v>
      </c>
      <c r="EW2" s="1" t="s">
        <v>46</v>
      </c>
      <c r="EX2" s="1" t="s">
        <v>46</v>
      </c>
      <c r="EY2" s="1" t="s">
        <v>46</v>
      </c>
      <c r="EZ2" s="1" t="s">
        <v>46</v>
      </c>
      <c r="FA2" s="1" t="s">
        <v>46</v>
      </c>
      <c r="FB2" s="1" t="s">
        <v>46</v>
      </c>
      <c r="FC2" s="1" t="s">
        <v>46</v>
      </c>
      <c r="FD2" s="1" t="s">
        <v>39</v>
      </c>
      <c r="FE2" s="1" t="s">
        <v>46</v>
      </c>
      <c r="FF2" s="1" t="s">
        <v>46</v>
      </c>
      <c r="FG2" s="1" t="s">
        <v>46</v>
      </c>
      <c r="FH2" s="1" t="s">
        <v>46</v>
      </c>
      <c r="FI2" s="1" t="s">
        <v>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E231"/>
  <sheetViews>
    <sheetView topLeftCell="A31" workbookViewId="0">
      <selection activeCell="G17" sqref="G17"/>
    </sheetView>
  </sheetViews>
  <sheetFormatPr defaultColWidth="9.140625" defaultRowHeight="15" x14ac:dyDescent="0.25"/>
  <cols>
    <col min="1" max="1" width="9.140625" style="3"/>
    <col min="2" max="2" width="12.140625" style="12" customWidth="1"/>
    <col min="3" max="3" width="84" style="1" bestFit="1" customWidth="1"/>
    <col min="4" max="4" width="84" style="1" customWidth="1"/>
    <col min="5" max="5" width="7.85546875" style="1" customWidth="1"/>
    <col min="6" max="16384" width="9.140625" style="1"/>
  </cols>
  <sheetData>
    <row r="2" spans="1:5" ht="21" x14ac:dyDescent="0.35">
      <c r="A2" s="6" t="s">
        <v>418</v>
      </c>
      <c r="B2" s="6" t="s">
        <v>63</v>
      </c>
      <c r="C2" s="6" t="s">
        <v>64</v>
      </c>
      <c r="D2" s="6" t="s">
        <v>682</v>
      </c>
      <c r="E2" s="6" t="s">
        <v>683</v>
      </c>
    </row>
    <row r="3" spans="1:5" ht="15.75" x14ac:dyDescent="0.25">
      <c r="A3" s="11" t="s">
        <v>414</v>
      </c>
      <c r="B3" s="13">
        <v>1</v>
      </c>
      <c r="C3" s="14" t="s">
        <v>65</v>
      </c>
      <c r="D3" s="14" t="s">
        <v>420</v>
      </c>
      <c r="E3" s="14"/>
    </row>
    <row r="4" spans="1:5" x14ac:dyDescent="0.25">
      <c r="A4" s="11" t="s">
        <v>413</v>
      </c>
      <c r="B4" s="15">
        <v>1.1000000000000001</v>
      </c>
      <c r="C4" s="16" t="s">
        <v>66</v>
      </c>
      <c r="D4" s="16" t="s">
        <v>421</v>
      </c>
    </row>
    <row r="5" spans="1:5" x14ac:dyDescent="0.25">
      <c r="A5" s="11" t="s">
        <v>417</v>
      </c>
      <c r="B5" s="17" t="s">
        <v>67</v>
      </c>
      <c r="C5" s="10" t="s">
        <v>68</v>
      </c>
      <c r="D5" s="10" t="s">
        <v>422</v>
      </c>
      <c r="E5" s="16" t="s">
        <v>669</v>
      </c>
    </row>
    <row r="6" spans="1:5" x14ac:dyDescent="0.25">
      <c r="A6" s="11" t="s">
        <v>417</v>
      </c>
      <c r="B6" s="17" t="s">
        <v>69</v>
      </c>
      <c r="C6" s="10" t="s">
        <v>70</v>
      </c>
      <c r="D6" s="10" t="s">
        <v>423</v>
      </c>
      <c r="E6" s="10" t="s">
        <v>669</v>
      </c>
    </row>
    <row r="7" spans="1:5" x14ac:dyDescent="0.25">
      <c r="A7" s="11" t="s">
        <v>417</v>
      </c>
      <c r="B7" s="17" t="s">
        <v>71</v>
      </c>
      <c r="C7" s="10" t="s">
        <v>72</v>
      </c>
      <c r="D7" s="10" t="s">
        <v>424</v>
      </c>
      <c r="E7" s="10" t="s">
        <v>669</v>
      </c>
    </row>
    <row r="8" spans="1:5" x14ac:dyDescent="0.25">
      <c r="A8" s="11" t="s">
        <v>417</v>
      </c>
      <c r="B8" s="17" t="s">
        <v>73</v>
      </c>
      <c r="C8" s="10" t="s">
        <v>74</v>
      </c>
      <c r="D8" s="10" t="s">
        <v>425</v>
      </c>
      <c r="E8" s="10" t="s">
        <v>669</v>
      </c>
    </row>
    <row r="9" spans="1:5" x14ac:dyDescent="0.25">
      <c r="A9" s="11" t="s">
        <v>417</v>
      </c>
      <c r="B9" s="17" t="s">
        <v>75</v>
      </c>
      <c r="C9" s="10" t="s">
        <v>76</v>
      </c>
      <c r="D9" s="10" t="s">
        <v>426</v>
      </c>
      <c r="E9" s="10" t="s">
        <v>669</v>
      </c>
    </row>
    <row r="10" spans="1:5" x14ac:dyDescent="0.25">
      <c r="A10" s="11" t="s">
        <v>417</v>
      </c>
      <c r="B10" s="17" t="s">
        <v>77</v>
      </c>
      <c r="C10" s="10" t="s">
        <v>78</v>
      </c>
      <c r="D10" s="10" t="s">
        <v>427</v>
      </c>
      <c r="E10" s="10" t="s">
        <v>669</v>
      </c>
    </row>
    <row r="11" spans="1:5" x14ac:dyDescent="0.25">
      <c r="A11" s="11" t="s">
        <v>417</v>
      </c>
      <c r="B11" s="17" t="s">
        <v>79</v>
      </c>
      <c r="C11" s="10" t="s">
        <v>80</v>
      </c>
      <c r="D11" s="10" t="s">
        <v>428</v>
      </c>
      <c r="E11" s="10" t="s">
        <v>669</v>
      </c>
    </row>
    <row r="12" spans="1:5" x14ac:dyDescent="0.25">
      <c r="A12" s="11" t="s">
        <v>417</v>
      </c>
      <c r="B12" s="17" t="s">
        <v>81</v>
      </c>
      <c r="C12" s="10" t="s">
        <v>82</v>
      </c>
      <c r="D12" s="10" t="s">
        <v>429</v>
      </c>
      <c r="E12" s="10" t="s">
        <v>669</v>
      </c>
    </row>
    <row r="13" spans="1:5" x14ac:dyDescent="0.25">
      <c r="A13" s="11" t="s">
        <v>417</v>
      </c>
      <c r="B13" s="17" t="s">
        <v>83</v>
      </c>
      <c r="C13" s="10" t="s">
        <v>84</v>
      </c>
      <c r="D13" s="10" t="s">
        <v>430</v>
      </c>
      <c r="E13" s="10" t="s">
        <v>669</v>
      </c>
    </row>
    <row r="14" spans="1:5" x14ac:dyDescent="0.25">
      <c r="A14" s="11" t="s">
        <v>413</v>
      </c>
      <c r="B14" s="15">
        <v>1.2</v>
      </c>
      <c r="C14" s="16" t="s">
        <v>85</v>
      </c>
      <c r="D14" s="16" t="s">
        <v>431</v>
      </c>
      <c r="E14" s="10"/>
    </row>
    <row r="15" spans="1:5" x14ac:dyDescent="0.25">
      <c r="A15" s="11" t="s">
        <v>417</v>
      </c>
      <c r="B15" s="17" t="s">
        <v>86</v>
      </c>
      <c r="C15" s="10" t="s">
        <v>87</v>
      </c>
      <c r="D15" s="10" t="s">
        <v>432</v>
      </c>
      <c r="E15" s="16" t="s">
        <v>669</v>
      </c>
    </row>
    <row r="16" spans="1:5" x14ac:dyDescent="0.25">
      <c r="A16" s="11" t="s">
        <v>417</v>
      </c>
      <c r="B16" s="17" t="s">
        <v>88</v>
      </c>
      <c r="C16" s="10" t="s">
        <v>89</v>
      </c>
      <c r="D16" s="10" t="s">
        <v>433</v>
      </c>
      <c r="E16" s="10" t="s">
        <v>669</v>
      </c>
    </row>
    <row r="17" spans="1:5" ht="15.75" x14ac:dyDescent="0.25">
      <c r="A17" s="11" t="s">
        <v>414</v>
      </c>
      <c r="B17" s="13">
        <v>2</v>
      </c>
      <c r="C17" s="14" t="s">
        <v>90</v>
      </c>
      <c r="D17" s="14" t="s">
        <v>434</v>
      </c>
      <c r="E17" s="10"/>
    </row>
    <row r="18" spans="1:5" ht="15.75" x14ac:dyDescent="0.25">
      <c r="A18" s="11" t="s">
        <v>413</v>
      </c>
      <c r="B18" s="15">
        <v>2.1</v>
      </c>
      <c r="C18" s="16" t="s">
        <v>91</v>
      </c>
      <c r="D18" s="16" t="s">
        <v>435</v>
      </c>
      <c r="E18" s="14"/>
    </row>
    <row r="19" spans="1:5" x14ac:dyDescent="0.25">
      <c r="A19" s="11" t="s">
        <v>417</v>
      </c>
      <c r="B19" s="17" t="s">
        <v>92</v>
      </c>
      <c r="C19" s="10" t="s">
        <v>93</v>
      </c>
      <c r="D19" s="10" t="s">
        <v>436</v>
      </c>
      <c r="E19" s="16" t="s">
        <v>669</v>
      </c>
    </row>
    <row r="20" spans="1:5" x14ac:dyDescent="0.25">
      <c r="A20" s="11" t="s">
        <v>417</v>
      </c>
      <c r="B20" s="17" t="s">
        <v>94</v>
      </c>
      <c r="C20" s="10" t="s">
        <v>95</v>
      </c>
      <c r="D20" s="10" t="s">
        <v>437</v>
      </c>
      <c r="E20" s="10" t="s">
        <v>669</v>
      </c>
    </row>
    <row r="21" spans="1:5" x14ac:dyDescent="0.25">
      <c r="A21" s="11" t="s">
        <v>417</v>
      </c>
      <c r="B21" s="17" t="s">
        <v>96</v>
      </c>
      <c r="C21" s="10" t="s">
        <v>97</v>
      </c>
      <c r="D21" s="10" t="s">
        <v>438</v>
      </c>
      <c r="E21" s="10" t="s">
        <v>669</v>
      </c>
    </row>
    <row r="22" spans="1:5" x14ac:dyDescent="0.25">
      <c r="A22" s="11" t="s">
        <v>413</v>
      </c>
      <c r="B22" s="15">
        <v>2.2000000000000002</v>
      </c>
      <c r="C22" s="16" t="s">
        <v>98</v>
      </c>
      <c r="D22" s="16" t="s">
        <v>439</v>
      </c>
      <c r="E22" s="10"/>
    </row>
    <row r="23" spans="1:5" x14ac:dyDescent="0.25">
      <c r="A23" s="11" t="s">
        <v>417</v>
      </c>
      <c r="B23" s="17" t="s">
        <v>99</v>
      </c>
      <c r="C23" s="10" t="s">
        <v>100</v>
      </c>
      <c r="D23" s="10" t="s">
        <v>440</v>
      </c>
      <c r="E23" s="16" t="s">
        <v>669</v>
      </c>
    </row>
    <row r="24" spans="1:5" x14ac:dyDescent="0.25">
      <c r="A24" s="11" t="s">
        <v>413</v>
      </c>
      <c r="B24" s="15">
        <v>2.2999999999999998</v>
      </c>
      <c r="C24" s="16" t="s">
        <v>101</v>
      </c>
      <c r="D24" s="16" t="s">
        <v>441</v>
      </c>
      <c r="E24" s="10"/>
    </row>
    <row r="25" spans="1:5" x14ac:dyDescent="0.25">
      <c r="A25" s="11" t="s">
        <v>417</v>
      </c>
      <c r="B25" s="17" t="s">
        <v>102</v>
      </c>
      <c r="C25" s="10" t="s">
        <v>103</v>
      </c>
      <c r="D25" s="10" t="s">
        <v>442</v>
      </c>
      <c r="E25" s="16" t="s">
        <v>669</v>
      </c>
    </row>
    <row r="26" spans="1:5" ht="15.75" x14ac:dyDescent="0.25">
      <c r="A26" s="11" t="s">
        <v>414</v>
      </c>
      <c r="B26" s="13">
        <v>3</v>
      </c>
      <c r="C26" s="14" t="s">
        <v>104</v>
      </c>
      <c r="D26" s="14" t="s">
        <v>443</v>
      </c>
      <c r="E26" s="10"/>
    </row>
    <row r="27" spans="1:5" ht="15.75" x14ac:dyDescent="0.25">
      <c r="A27" s="11" t="s">
        <v>413</v>
      </c>
      <c r="B27" s="15">
        <v>3.1</v>
      </c>
      <c r="C27" s="16" t="s">
        <v>105</v>
      </c>
      <c r="D27" s="16" t="s">
        <v>444</v>
      </c>
      <c r="E27" s="14"/>
    </row>
    <row r="28" spans="1:5" x14ac:dyDescent="0.25">
      <c r="A28" s="11" t="s">
        <v>417</v>
      </c>
      <c r="B28" s="17" t="s">
        <v>106</v>
      </c>
      <c r="C28" s="10" t="s">
        <v>107</v>
      </c>
      <c r="D28" s="10" t="s">
        <v>445</v>
      </c>
      <c r="E28" s="16" t="s">
        <v>670</v>
      </c>
    </row>
    <row r="29" spans="1:5" x14ac:dyDescent="0.25">
      <c r="A29" s="11" t="s">
        <v>417</v>
      </c>
      <c r="B29" s="17" t="s">
        <v>108</v>
      </c>
      <c r="C29" s="10" t="s">
        <v>109</v>
      </c>
      <c r="D29" s="10" t="s">
        <v>446</v>
      </c>
      <c r="E29" s="10" t="s">
        <v>670</v>
      </c>
    </row>
    <row r="30" spans="1:5" x14ac:dyDescent="0.25">
      <c r="A30" s="11" t="s">
        <v>417</v>
      </c>
      <c r="B30" s="17" t="s">
        <v>110</v>
      </c>
      <c r="C30" s="10" t="s">
        <v>111</v>
      </c>
      <c r="D30" s="10" t="s">
        <v>447</v>
      </c>
      <c r="E30" s="10" t="s">
        <v>670</v>
      </c>
    </row>
    <row r="31" spans="1:5" x14ac:dyDescent="0.25">
      <c r="A31" s="11" t="s">
        <v>417</v>
      </c>
      <c r="B31" s="17" t="s">
        <v>112</v>
      </c>
      <c r="C31" s="10" t="s">
        <v>113</v>
      </c>
      <c r="D31" s="10" t="s">
        <v>448</v>
      </c>
      <c r="E31" s="10" t="s">
        <v>671</v>
      </c>
    </row>
    <row r="32" spans="1:5" x14ac:dyDescent="0.25">
      <c r="A32" s="11" t="s">
        <v>413</v>
      </c>
      <c r="B32" s="15">
        <v>3.2</v>
      </c>
      <c r="C32" s="16" t="s">
        <v>114</v>
      </c>
      <c r="D32" s="16" t="s">
        <v>449</v>
      </c>
      <c r="E32" s="10"/>
    </row>
    <row r="33" spans="1:5" x14ac:dyDescent="0.25">
      <c r="A33" s="11" t="s">
        <v>417</v>
      </c>
      <c r="B33" s="17" t="s">
        <v>115</v>
      </c>
      <c r="C33" s="10" t="s">
        <v>116</v>
      </c>
      <c r="D33" s="10" t="s">
        <v>450</v>
      </c>
      <c r="E33" s="16" t="s">
        <v>670</v>
      </c>
    </row>
    <row r="34" spans="1:5" x14ac:dyDescent="0.25">
      <c r="A34" s="11" t="s">
        <v>417</v>
      </c>
      <c r="B34" s="17" t="s">
        <v>117</v>
      </c>
      <c r="C34" s="10" t="s">
        <v>118</v>
      </c>
      <c r="D34" s="10" t="s">
        <v>451</v>
      </c>
      <c r="E34" s="10" t="s">
        <v>671</v>
      </c>
    </row>
    <row r="35" spans="1:5" ht="15.75" x14ac:dyDescent="0.25">
      <c r="A35" s="11" t="s">
        <v>414</v>
      </c>
      <c r="B35" s="13">
        <v>4</v>
      </c>
      <c r="C35" s="14" t="s">
        <v>119</v>
      </c>
      <c r="D35" s="14" t="s">
        <v>452</v>
      </c>
      <c r="E35" s="10"/>
    </row>
    <row r="36" spans="1:5" ht="15.75" x14ac:dyDescent="0.25">
      <c r="A36" s="11" t="s">
        <v>413</v>
      </c>
      <c r="B36" s="15">
        <v>4.0999999999999996</v>
      </c>
      <c r="C36" s="16" t="s">
        <v>120</v>
      </c>
      <c r="D36" s="16" t="s">
        <v>453</v>
      </c>
      <c r="E36" s="14"/>
    </row>
    <row r="37" spans="1:5" x14ac:dyDescent="0.25">
      <c r="A37" s="11" t="s">
        <v>417</v>
      </c>
      <c r="B37" s="17" t="s">
        <v>121</v>
      </c>
      <c r="C37" s="10" t="s">
        <v>122</v>
      </c>
      <c r="D37" s="10" t="s">
        <v>454</v>
      </c>
      <c r="E37" s="16" t="s">
        <v>671</v>
      </c>
    </row>
    <row r="38" spans="1:5" x14ac:dyDescent="0.25">
      <c r="A38" s="11" t="s">
        <v>417</v>
      </c>
      <c r="B38" s="17" t="s">
        <v>123</v>
      </c>
      <c r="C38" s="10" t="s">
        <v>124</v>
      </c>
      <c r="D38" s="10" t="s">
        <v>455</v>
      </c>
      <c r="E38" s="10" t="s">
        <v>671</v>
      </c>
    </row>
    <row r="39" spans="1:5" x14ac:dyDescent="0.25">
      <c r="A39" s="11" t="s">
        <v>413</v>
      </c>
      <c r="B39" s="15">
        <v>4.2</v>
      </c>
      <c r="C39" s="16" t="s">
        <v>125</v>
      </c>
      <c r="D39" s="16" t="s">
        <v>456</v>
      </c>
      <c r="E39" s="10"/>
    </row>
    <row r="40" spans="1:5" x14ac:dyDescent="0.25">
      <c r="A40" s="11" t="s">
        <v>417</v>
      </c>
      <c r="B40" s="17" t="s">
        <v>126</v>
      </c>
      <c r="C40" s="10" t="s">
        <v>127</v>
      </c>
      <c r="D40" s="10" t="s">
        <v>457</v>
      </c>
      <c r="E40" s="16" t="s">
        <v>671</v>
      </c>
    </row>
    <row r="41" spans="1:5" x14ac:dyDescent="0.25">
      <c r="A41" s="11" t="s">
        <v>417</v>
      </c>
      <c r="B41" s="17" t="s">
        <v>128</v>
      </c>
      <c r="C41" s="10" t="s">
        <v>129</v>
      </c>
      <c r="D41" s="10" t="s">
        <v>458</v>
      </c>
      <c r="E41" s="10" t="s">
        <v>671</v>
      </c>
    </row>
    <row r="42" spans="1:5" x14ac:dyDescent="0.25">
      <c r="A42" s="11" t="s">
        <v>413</v>
      </c>
      <c r="B42" s="15">
        <v>4.3</v>
      </c>
      <c r="C42" s="16" t="s">
        <v>130</v>
      </c>
      <c r="D42" s="16" t="s">
        <v>459</v>
      </c>
      <c r="E42" s="10"/>
    </row>
    <row r="43" spans="1:5" x14ac:dyDescent="0.25">
      <c r="A43" s="11" t="s">
        <v>417</v>
      </c>
      <c r="B43" s="17" t="s">
        <v>131</v>
      </c>
      <c r="C43" s="10" t="s">
        <v>132</v>
      </c>
      <c r="D43" s="10" t="s">
        <v>460</v>
      </c>
      <c r="E43" s="16" t="s">
        <v>669</v>
      </c>
    </row>
    <row r="44" spans="1:5" x14ac:dyDescent="0.25">
      <c r="A44" s="11" t="s">
        <v>417</v>
      </c>
      <c r="B44" s="17" t="s">
        <v>133</v>
      </c>
      <c r="C44" s="10" t="s">
        <v>134</v>
      </c>
      <c r="D44" s="10" t="s">
        <v>461</v>
      </c>
      <c r="E44" s="10" t="s">
        <v>671</v>
      </c>
    </row>
    <row r="45" spans="1:5" x14ac:dyDescent="0.25">
      <c r="A45" s="11" t="s">
        <v>413</v>
      </c>
      <c r="B45" s="15">
        <v>4.4000000000000004</v>
      </c>
      <c r="C45" s="16" t="s">
        <v>135</v>
      </c>
      <c r="D45" s="16" t="s">
        <v>462</v>
      </c>
      <c r="E45" s="10"/>
    </row>
    <row r="46" spans="1:5" x14ac:dyDescent="0.25">
      <c r="A46" s="11" t="s">
        <v>417</v>
      </c>
      <c r="B46" s="17" t="s">
        <v>136</v>
      </c>
      <c r="C46" s="10" t="s">
        <v>137</v>
      </c>
      <c r="D46" s="10" t="s">
        <v>463</v>
      </c>
      <c r="E46" s="16" t="s">
        <v>669</v>
      </c>
    </row>
    <row r="47" spans="1:5" x14ac:dyDescent="0.25">
      <c r="A47" s="11" t="s">
        <v>417</v>
      </c>
      <c r="B47" s="17" t="s">
        <v>138</v>
      </c>
      <c r="C47" s="10" t="s">
        <v>139</v>
      </c>
      <c r="D47" s="10" t="s">
        <v>464</v>
      </c>
      <c r="E47" s="10" t="s">
        <v>671</v>
      </c>
    </row>
    <row r="48" spans="1:5" x14ac:dyDescent="0.25">
      <c r="A48" s="11" t="s">
        <v>417</v>
      </c>
      <c r="B48" s="17" t="s">
        <v>140</v>
      </c>
      <c r="C48" s="10" t="s">
        <v>141</v>
      </c>
      <c r="D48" s="10" t="s">
        <v>465</v>
      </c>
      <c r="E48" s="10" t="s">
        <v>671</v>
      </c>
    </row>
    <row r="49" spans="1:5" x14ac:dyDescent="0.25">
      <c r="A49" s="11" t="s">
        <v>417</v>
      </c>
      <c r="B49" s="17" t="s">
        <v>142</v>
      </c>
      <c r="C49" s="10" t="s">
        <v>143</v>
      </c>
      <c r="D49" s="10" t="s">
        <v>466</v>
      </c>
      <c r="E49" s="10" t="s">
        <v>671</v>
      </c>
    </row>
    <row r="50" spans="1:5" x14ac:dyDescent="0.25">
      <c r="A50" s="11" t="s">
        <v>413</v>
      </c>
      <c r="B50" s="15">
        <v>4.5</v>
      </c>
      <c r="C50" s="16" t="s">
        <v>144</v>
      </c>
      <c r="D50" s="16" t="s">
        <v>467</v>
      </c>
      <c r="E50" s="10"/>
    </row>
    <row r="51" spans="1:5" x14ac:dyDescent="0.25">
      <c r="A51" s="11" t="s">
        <v>417</v>
      </c>
      <c r="B51" s="17" t="s">
        <v>145</v>
      </c>
      <c r="C51" s="10" t="s">
        <v>146</v>
      </c>
      <c r="D51" s="10" t="s">
        <v>468</v>
      </c>
      <c r="E51" s="16" t="s">
        <v>669</v>
      </c>
    </row>
    <row r="52" spans="1:5" x14ac:dyDescent="0.25">
      <c r="A52" s="11" t="s">
        <v>417</v>
      </c>
      <c r="B52" s="17" t="s">
        <v>147</v>
      </c>
      <c r="C52" s="10" t="s">
        <v>148</v>
      </c>
      <c r="D52" s="10" t="s">
        <v>469</v>
      </c>
      <c r="E52" s="10" t="s">
        <v>669</v>
      </c>
    </row>
    <row r="53" spans="1:5" x14ac:dyDescent="0.25">
      <c r="A53" s="11" t="s">
        <v>417</v>
      </c>
      <c r="B53" s="17" t="s">
        <v>149</v>
      </c>
      <c r="C53" s="10" t="s">
        <v>150</v>
      </c>
      <c r="D53" s="10" t="s">
        <v>470</v>
      </c>
      <c r="E53" s="10" t="s">
        <v>669</v>
      </c>
    </row>
    <row r="54" spans="1:5" x14ac:dyDescent="0.25">
      <c r="A54" s="11" t="s">
        <v>417</v>
      </c>
      <c r="B54" s="17" t="s">
        <v>151</v>
      </c>
      <c r="C54" s="10" t="s">
        <v>152</v>
      </c>
      <c r="D54" s="10" t="s">
        <v>471</v>
      </c>
      <c r="E54" s="10" t="s">
        <v>669</v>
      </c>
    </row>
    <row r="55" spans="1:5" x14ac:dyDescent="0.25">
      <c r="A55" s="11" t="s">
        <v>417</v>
      </c>
      <c r="B55" s="17" t="s">
        <v>153</v>
      </c>
      <c r="C55" s="10" t="s">
        <v>154</v>
      </c>
      <c r="D55" s="10" t="s">
        <v>472</v>
      </c>
      <c r="E55" s="10" t="s">
        <v>669</v>
      </c>
    </row>
    <row r="56" spans="1:5" ht="15.75" x14ac:dyDescent="0.25">
      <c r="A56" s="11" t="s">
        <v>414</v>
      </c>
      <c r="B56" s="13">
        <v>5</v>
      </c>
      <c r="C56" s="14" t="s">
        <v>155</v>
      </c>
      <c r="D56" s="14" t="s">
        <v>473</v>
      </c>
      <c r="E56" s="10"/>
    </row>
    <row r="57" spans="1:5" ht="15.75" x14ac:dyDescent="0.25">
      <c r="A57" s="11" t="s">
        <v>413</v>
      </c>
      <c r="B57" s="15">
        <v>5.0999999999999996</v>
      </c>
      <c r="C57" s="16" t="s">
        <v>156</v>
      </c>
      <c r="D57" s="16" t="s">
        <v>474</v>
      </c>
      <c r="E57" s="14"/>
    </row>
    <row r="58" spans="1:5" x14ac:dyDescent="0.25">
      <c r="A58" s="11" t="s">
        <v>417</v>
      </c>
      <c r="B58" s="17" t="s">
        <v>157</v>
      </c>
      <c r="C58" s="10" t="s">
        <v>158</v>
      </c>
      <c r="D58" s="10" t="s">
        <v>475</v>
      </c>
      <c r="E58" s="16" t="s">
        <v>672</v>
      </c>
    </row>
    <row r="59" spans="1:5" x14ac:dyDescent="0.25">
      <c r="A59" s="11" t="s">
        <v>417</v>
      </c>
      <c r="B59" s="17" t="s">
        <v>159</v>
      </c>
      <c r="C59" s="10" t="s">
        <v>160</v>
      </c>
      <c r="D59" s="10" t="s">
        <v>476</v>
      </c>
      <c r="E59" s="10" t="s">
        <v>672</v>
      </c>
    </row>
    <row r="60" spans="1:5" x14ac:dyDescent="0.25">
      <c r="A60" s="11" t="s">
        <v>417</v>
      </c>
      <c r="B60" s="17" t="s">
        <v>161</v>
      </c>
      <c r="C60" s="10" t="s">
        <v>162</v>
      </c>
      <c r="D60" s="10" t="s">
        <v>477</v>
      </c>
      <c r="E60" s="10" t="s">
        <v>671</v>
      </c>
    </row>
    <row r="61" spans="1:5" x14ac:dyDescent="0.25">
      <c r="A61" s="11" t="s">
        <v>413</v>
      </c>
      <c r="B61" s="15">
        <v>5.2</v>
      </c>
      <c r="C61" s="16" t="s">
        <v>163</v>
      </c>
      <c r="D61" s="16" t="s">
        <v>478</v>
      </c>
      <c r="E61" s="10"/>
    </row>
    <row r="62" spans="1:5" x14ac:dyDescent="0.25">
      <c r="A62" s="11" t="s">
        <v>417</v>
      </c>
      <c r="B62" s="17" t="s">
        <v>164</v>
      </c>
      <c r="C62" s="10" t="s">
        <v>165</v>
      </c>
      <c r="D62" s="10" t="s">
        <v>479</v>
      </c>
      <c r="E62" s="16" t="s">
        <v>670</v>
      </c>
    </row>
    <row r="63" spans="1:5" x14ac:dyDescent="0.25">
      <c r="A63" s="11" t="s">
        <v>413</v>
      </c>
      <c r="B63" s="15">
        <v>5.3</v>
      </c>
      <c r="C63" s="16" t="s">
        <v>166</v>
      </c>
      <c r="D63" s="16" t="s">
        <v>480</v>
      </c>
      <c r="E63" s="10"/>
    </row>
    <row r="64" spans="1:5" x14ac:dyDescent="0.25">
      <c r="A64" s="11" t="s">
        <v>417</v>
      </c>
      <c r="B64" s="17" t="s">
        <v>167</v>
      </c>
      <c r="C64" s="10" t="s">
        <v>168</v>
      </c>
      <c r="D64" s="10" t="s">
        <v>481</v>
      </c>
      <c r="E64" s="16" t="s">
        <v>672</v>
      </c>
    </row>
    <row r="65" spans="1:5" x14ac:dyDescent="0.25">
      <c r="A65" s="11" t="s">
        <v>417</v>
      </c>
      <c r="B65" s="17" t="s">
        <v>169</v>
      </c>
      <c r="C65" s="10" t="s">
        <v>170</v>
      </c>
      <c r="D65" s="10" t="s">
        <v>482</v>
      </c>
      <c r="E65" s="10" t="s">
        <v>670</v>
      </c>
    </row>
    <row r="66" spans="1:5" x14ac:dyDescent="0.25">
      <c r="A66" s="11" t="s">
        <v>417</v>
      </c>
      <c r="B66" s="17" t="s">
        <v>171</v>
      </c>
      <c r="C66" s="10" t="s">
        <v>172</v>
      </c>
      <c r="D66" s="10" t="s">
        <v>483</v>
      </c>
      <c r="E66" s="10" t="s">
        <v>671</v>
      </c>
    </row>
    <row r="67" spans="1:5" x14ac:dyDescent="0.25">
      <c r="A67" s="11" t="s">
        <v>413</v>
      </c>
      <c r="B67" s="15">
        <v>5.4</v>
      </c>
      <c r="C67" s="16" t="s">
        <v>173</v>
      </c>
      <c r="D67" s="16" t="s">
        <v>484</v>
      </c>
      <c r="E67" s="10"/>
    </row>
    <row r="68" spans="1:5" x14ac:dyDescent="0.25">
      <c r="A68" s="11" t="s">
        <v>417</v>
      </c>
      <c r="B68" s="17" t="s">
        <v>174</v>
      </c>
      <c r="C68" s="10" t="s">
        <v>175</v>
      </c>
      <c r="D68" s="10" t="s">
        <v>485</v>
      </c>
      <c r="E68" s="16" t="s">
        <v>670</v>
      </c>
    </row>
    <row r="69" spans="1:5" x14ac:dyDescent="0.25">
      <c r="A69" s="11" t="s">
        <v>413</v>
      </c>
      <c r="B69" s="15">
        <v>5.5</v>
      </c>
      <c r="C69" s="16" t="s">
        <v>176</v>
      </c>
      <c r="D69" s="16" t="s">
        <v>486</v>
      </c>
      <c r="E69" s="10"/>
    </row>
    <row r="70" spans="1:5" x14ac:dyDescent="0.25">
      <c r="A70" s="11" t="s">
        <v>417</v>
      </c>
      <c r="B70" s="17" t="s">
        <v>177</v>
      </c>
      <c r="C70" s="10" t="s">
        <v>178</v>
      </c>
      <c r="D70" s="10" t="s">
        <v>487</v>
      </c>
      <c r="E70" s="16" t="s">
        <v>672</v>
      </c>
    </row>
    <row r="71" spans="1:5" x14ac:dyDescent="0.25">
      <c r="A71" s="11" t="s">
        <v>417</v>
      </c>
      <c r="B71" s="17" t="s">
        <v>179</v>
      </c>
      <c r="C71" s="10" t="s">
        <v>180</v>
      </c>
      <c r="D71" s="10" t="s">
        <v>488</v>
      </c>
      <c r="E71" s="10" t="s">
        <v>670</v>
      </c>
    </row>
    <row r="72" spans="1:5" x14ac:dyDescent="0.25">
      <c r="A72" s="11" t="s">
        <v>413</v>
      </c>
      <c r="B72" s="15">
        <v>5.6</v>
      </c>
      <c r="C72" s="16" t="s">
        <v>181</v>
      </c>
      <c r="D72" s="16" t="s">
        <v>489</v>
      </c>
      <c r="E72" s="10"/>
    </row>
    <row r="73" spans="1:5" x14ac:dyDescent="0.25">
      <c r="A73" s="11" t="s">
        <v>417</v>
      </c>
      <c r="B73" s="17" t="s">
        <v>182</v>
      </c>
      <c r="C73" s="10" t="s">
        <v>183</v>
      </c>
      <c r="D73" s="10" t="s">
        <v>490</v>
      </c>
      <c r="E73" s="16" t="s">
        <v>669</v>
      </c>
    </row>
    <row r="74" spans="1:5" x14ac:dyDescent="0.25">
      <c r="A74" s="11" t="s">
        <v>417</v>
      </c>
      <c r="B74" s="17" t="s">
        <v>184</v>
      </c>
      <c r="C74" s="10" t="s">
        <v>185</v>
      </c>
      <c r="D74" s="10" t="s">
        <v>491</v>
      </c>
      <c r="E74" s="10" t="s">
        <v>671</v>
      </c>
    </row>
    <row r="75" spans="1:5" ht="15.75" x14ac:dyDescent="0.25">
      <c r="A75" s="11" t="s">
        <v>414</v>
      </c>
      <c r="B75" s="13">
        <v>6</v>
      </c>
      <c r="C75" s="14" t="s">
        <v>186</v>
      </c>
      <c r="D75" s="14" t="s">
        <v>492</v>
      </c>
      <c r="E75" s="10"/>
    </row>
    <row r="76" spans="1:5" ht="15.75" x14ac:dyDescent="0.25">
      <c r="A76" s="11" t="s">
        <v>413</v>
      </c>
      <c r="B76" s="15">
        <v>6.1</v>
      </c>
      <c r="C76" s="16" t="s">
        <v>187</v>
      </c>
      <c r="D76" s="16" t="s">
        <v>493</v>
      </c>
      <c r="E76" s="14"/>
    </row>
    <row r="77" spans="1:5" x14ac:dyDescent="0.25">
      <c r="A77" s="11" t="s">
        <v>417</v>
      </c>
      <c r="B77" s="17" t="s">
        <v>188</v>
      </c>
      <c r="C77" s="10" t="s">
        <v>189</v>
      </c>
      <c r="D77" s="10" t="s">
        <v>494</v>
      </c>
      <c r="E77" s="16" t="s">
        <v>669</v>
      </c>
    </row>
    <row r="78" spans="1:5" x14ac:dyDescent="0.25">
      <c r="A78" s="11" t="s">
        <v>417</v>
      </c>
      <c r="B78" s="17" t="s">
        <v>190</v>
      </c>
      <c r="C78" s="10" t="s">
        <v>191</v>
      </c>
      <c r="D78" s="10" t="s">
        <v>495</v>
      </c>
      <c r="E78" s="10" t="s">
        <v>669</v>
      </c>
    </row>
    <row r="79" spans="1:5" x14ac:dyDescent="0.25">
      <c r="A79" s="11" t="s">
        <v>417</v>
      </c>
      <c r="B79" s="17" t="s">
        <v>192</v>
      </c>
      <c r="C79" s="10" t="s">
        <v>193</v>
      </c>
      <c r="D79" s="10" t="s">
        <v>496</v>
      </c>
      <c r="E79" s="10" t="s">
        <v>672</v>
      </c>
    </row>
    <row r="80" spans="1:5" x14ac:dyDescent="0.25">
      <c r="A80" s="11" t="s">
        <v>413</v>
      </c>
      <c r="B80" s="15">
        <v>6.2</v>
      </c>
      <c r="C80" s="16" t="s">
        <v>194</v>
      </c>
      <c r="D80" s="16" t="s">
        <v>497</v>
      </c>
      <c r="E80" s="10"/>
    </row>
    <row r="81" spans="1:5" x14ac:dyDescent="0.25">
      <c r="A81" s="11" t="s">
        <v>417</v>
      </c>
      <c r="B81" s="17" t="s">
        <v>195</v>
      </c>
      <c r="C81" s="10" t="s">
        <v>196</v>
      </c>
      <c r="D81" s="10" t="s">
        <v>498</v>
      </c>
      <c r="E81" s="16" t="s">
        <v>671</v>
      </c>
    </row>
    <row r="82" spans="1:5" x14ac:dyDescent="0.25">
      <c r="A82" s="11" t="s">
        <v>417</v>
      </c>
      <c r="B82" s="17" t="s">
        <v>197</v>
      </c>
      <c r="C82" s="10" t="s">
        <v>198</v>
      </c>
      <c r="D82" s="10" t="s">
        <v>499</v>
      </c>
      <c r="E82" s="10" t="s">
        <v>671</v>
      </c>
    </row>
    <row r="83" spans="1:5" x14ac:dyDescent="0.25">
      <c r="A83" s="11" t="s">
        <v>417</v>
      </c>
      <c r="B83" s="17" t="s">
        <v>199</v>
      </c>
      <c r="C83" s="10" t="s">
        <v>200</v>
      </c>
      <c r="D83" s="10" t="s">
        <v>500</v>
      </c>
      <c r="E83" s="10" t="s">
        <v>671</v>
      </c>
    </row>
    <row r="84" spans="1:5" x14ac:dyDescent="0.25">
      <c r="A84" s="11" t="s">
        <v>413</v>
      </c>
      <c r="B84" s="15">
        <v>6.3</v>
      </c>
      <c r="C84" s="16" t="s">
        <v>201</v>
      </c>
      <c r="D84" s="16" t="s">
        <v>501</v>
      </c>
      <c r="E84" s="10"/>
    </row>
    <row r="85" spans="1:5" x14ac:dyDescent="0.25">
      <c r="A85" s="11" t="s">
        <v>417</v>
      </c>
      <c r="B85" s="17" t="s">
        <v>202</v>
      </c>
      <c r="C85" s="10" t="s">
        <v>203</v>
      </c>
      <c r="D85" s="10" t="s">
        <v>502</v>
      </c>
      <c r="E85" s="16" t="s">
        <v>671</v>
      </c>
    </row>
    <row r="86" spans="1:5" ht="15.75" x14ac:dyDescent="0.25">
      <c r="A86" s="11" t="s">
        <v>414</v>
      </c>
      <c r="B86" s="13">
        <v>7</v>
      </c>
      <c r="C86" s="14" t="s">
        <v>204</v>
      </c>
      <c r="D86" s="14" t="s">
        <v>503</v>
      </c>
      <c r="E86" s="10"/>
    </row>
    <row r="87" spans="1:5" ht="15.75" x14ac:dyDescent="0.25">
      <c r="A87" s="11" t="s">
        <v>413</v>
      </c>
      <c r="B87" s="15">
        <v>7.1</v>
      </c>
      <c r="C87" s="16" t="s">
        <v>205</v>
      </c>
      <c r="D87" s="16" t="s">
        <v>504</v>
      </c>
      <c r="E87" s="14"/>
    </row>
    <row r="88" spans="1:5" x14ac:dyDescent="0.25">
      <c r="A88" s="11" t="s">
        <v>417</v>
      </c>
      <c r="B88" s="17" t="s">
        <v>206</v>
      </c>
      <c r="C88" s="10" t="s">
        <v>207</v>
      </c>
      <c r="D88" s="10" t="s">
        <v>505</v>
      </c>
      <c r="E88" s="16" t="s">
        <v>672</v>
      </c>
    </row>
    <row r="89" spans="1:5" x14ac:dyDescent="0.25">
      <c r="A89" s="11" t="s">
        <v>417</v>
      </c>
      <c r="B89" s="17" t="s">
        <v>208</v>
      </c>
      <c r="C89" s="10" t="s">
        <v>209</v>
      </c>
      <c r="D89" s="10" t="s">
        <v>506</v>
      </c>
      <c r="E89" s="10" t="s">
        <v>672</v>
      </c>
    </row>
    <row r="90" spans="1:5" x14ac:dyDescent="0.25">
      <c r="A90" s="11" t="s">
        <v>417</v>
      </c>
      <c r="B90" s="17" t="s">
        <v>210</v>
      </c>
      <c r="C90" s="10" t="s">
        <v>211</v>
      </c>
      <c r="D90" s="10" t="s">
        <v>507</v>
      </c>
      <c r="E90" s="10" t="s">
        <v>672</v>
      </c>
    </row>
    <row r="91" spans="1:5" x14ac:dyDescent="0.25">
      <c r="A91" s="11" t="s">
        <v>417</v>
      </c>
      <c r="B91" s="17" t="s">
        <v>212</v>
      </c>
      <c r="C91" s="10" t="s">
        <v>213</v>
      </c>
      <c r="D91" s="10" t="s">
        <v>508</v>
      </c>
      <c r="E91" s="10" t="s">
        <v>672</v>
      </c>
    </row>
    <row r="92" spans="1:5" x14ac:dyDescent="0.25">
      <c r="A92" s="11" t="s">
        <v>413</v>
      </c>
      <c r="B92" s="15">
        <v>7.2</v>
      </c>
      <c r="C92" s="16" t="s">
        <v>214</v>
      </c>
      <c r="D92" s="16" t="s">
        <v>509</v>
      </c>
      <c r="E92" s="10"/>
    </row>
    <row r="93" spans="1:5" x14ac:dyDescent="0.25">
      <c r="A93" s="11" t="s">
        <v>417</v>
      </c>
      <c r="B93" s="17" t="s">
        <v>215</v>
      </c>
      <c r="C93" s="10" t="s">
        <v>216</v>
      </c>
      <c r="D93" s="10" t="s">
        <v>510</v>
      </c>
      <c r="E93" s="16" t="s">
        <v>670</v>
      </c>
    </row>
    <row r="94" spans="1:5" x14ac:dyDescent="0.25">
      <c r="A94" s="11" t="s">
        <v>417</v>
      </c>
      <c r="B94" s="17" t="s">
        <v>217</v>
      </c>
      <c r="C94" s="10" t="s">
        <v>218</v>
      </c>
      <c r="D94" s="10" t="s">
        <v>511</v>
      </c>
      <c r="E94" s="10" t="s">
        <v>669</v>
      </c>
    </row>
    <row r="95" spans="1:5" x14ac:dyDescent="0.25">
      <c r="A95" s="11" t="s">
        <v>417</v>
      </c>
      <c r="B95" s="17" t="s">
        <v>219</v>
      </c>
      <c r="C95" s="10" t="s">
        <v>220</v>
      </c>
      <c r="D95" s="10" t="s">
        <v>512</v>
      </c>
      <c r="E95" s="10" t="s">
        <v>671</v>
      </c>
    </row>
    <row r="96" spans="1:5" x14ac:dyDescent="0.25">
      <c r="A96" s="11" t="s">
        <v>417</v>
      </c>
      <c r="B96" s="17" t="s">
        <v>221</v>
      </c>
      <c r="C96" s="10" t="s">
        <v>222</v>
      </c>
      <c r="D96" s="10" t="s">
        <v>513</v>
      </c>
      <c r="E96" s="10" t="s">
        <v>671</v>
      </c>
    </row>
    <row r="97" spans="1:5" x14ac:dyDescent="0.25">
      <c r="A97" s="11" t="s">
        <v>413</v>
      </c>
      <c r="B97" s="15">
        <v>7.3</v>
      </c>
      <c r="C97" s="16" t="s">
        <v>223</v>
      </c>
      <c r="D97" s="16" t="s">
        <v>514</v>
      </c>
      <c r="E97" s="10"/>
    </row>
    <row r="98" spans="1:5" x14ac:dyDescent="0.25">
      <c r="A98" s="11" t="s">
        <v>417</v>
      </c>
      <c r="B98" s="17" t="s">
        <v>224</v>
      </c>
      <c r="C98" s="10" t="s">
        <v>225</v>
      </c>
      <c r="D98" s="10" t="s">
        <v>515</v>
      </c>
      <c r="E98" s="16" t="s">
        <v>671</v>
      </c>
    </row>
    <row r="99" spans="1:5" x14ac:dyDescent="0.25">
      <c r="A99" s="11" t="s">
        <v>417</v>
      </c>
      <c r="B99" s="17" t="s">
        <v>226</v>
      </c>
      <c r="C99" s="10" t="s">
        <v>227</v>
      </c>
      <c r="D99" s="10" t="s">
        <v>516</v>
      </c>
      <c r="E99" s="10" t="s">
        <v>671</v>
      </c>
    </row>
    <row r="100" spans="1:5" x14ac:dyDescent="0.25">
      <c r="A100" s="11" t="s">
        <v>417</v>
      </c>
      <c r="B100" s="17" t="s">
        <v>228</v>
      </c>
      <c r="C100" s="10" t="s">
        <v>229</v>
      </c>
      <c r="D100" s="10" t="s">
        <v>517</v>
      </c>
      <c r="E100" s="10" t="s">
        <v>671</v>
      </c>
    </row>
    <row r="101" spans="1:5" x14ac:dyDescent="0.25">
      <c r="A101" s="11" t="s">
        <v>417</v>
      </c>
      <c r="B101" s="17" t="s">
        <v>230</v>
      </c>
      <c r="C101" s="10" t="s">
        <v>231</v>
      </c>
      <c r="D101" s="10" t="s">
        <v>518</v>
      </c>
      <c r="E101" s="10" t="s">
        <v>671</v>
      </c>
    </row>
    <row r="102" spans="1:5" x14ac:dyDescent="0.25">
      <c r="A102" s="11" t="s">
        <v>417</v>
      </c>
      <c r="B102" s="17" t="s">
        <v>232</v>
      </c>
      <c r="C102" s="10" t="s">
        <v>233</v>
      </c>
      <c r="D102" s="10" t="s">
        <v>519</v>
      </c>
      <c r="E102" s="10" t="s">
        <v>671</v>
      </c>
    </row>
    <row r="103" spans="1:5" x14ac:dyDescent="0.25">
      <c r="A103" s="11" t="s">
        <v>417</v>
      </c>
      <c r="B103" s="17" t="s">
        <v>234</v>
      </c>
      <c r="C103" s="10" t="s">
        <v>235</v>
      </c>
      <c r="D103" s="10" t="s">
        <v>520</v>
      </c>
      <c r="E103" s="10" t="s">
        <v>671</v>
      </c>
    </row>
    <row r="104" spans="1:5" ht="15.75" x14ac:dyDescent="0.25">
      <c r="A104" s="11" t="s">
        <v>414</v>
      </c>
      <c r="B104" s="13">
        <v>8</v>
      </c>
      <c r="C104" s="14" t="s">
        <v>236</v>
      </c>
      <c r="D104" s="14" t="s">
        <v>521</v>
      </c>
      <c r="E104" s="10"/>
    </row>
    <row r="105" spans="1:5" ht="15.75" x14ac:dyDescent="0.25">
      <c r="A105" s="11" t="s">
        <v>413</v>
      </c>
      <c r="B105" s="15">
        <v>8.1</v>
      </c>
      <c r="C105" s="16" t="s">
        <v>237</v>
      </c>
      <c r="D105" s="16" t="s">
        <v>522</v>
      </c>
      <c r="E105" s="14"/>
    </row>
    <row r="106" spans="1:5" x14ac:dyDescent="0.25">
      <c r="A106" s="11" t="s">
        <v>417</v>
      </c>
      <c r="B106" s="17" t="s">
        <v>238</v>
      </c>
      <c r="C106" s="10" t="s">
        <v>239</v>
      </c>
      <c r="D106" s="10" t="s">
        <v>523</v>
      </c>
      <c r="E106" s="16" t="s">
        <v>671</v>
      </c>
    </row>
    <row r="107" spans="1:5" x14ac:dyDescent="0.25">
      <c r="A107" s="11" t="s">
        <v>413</v>
      </c>
      <c r="B107" s="15">
        <v>8.1999999999999993</v>
      </c>
      <c r="C107" s="16" t="s">
        <v>240</v>
      </c>
      <c r="D107" s="16" t="s">
        <v>524</v>
      </c>
      <c r="E107" s="10"/>
    </row>
    <row r="108" spans="1:5" x14ac:dyDescent="0.25">
      <c r="A108" s="11" t="s">
        <v>417</v>
      </c>
      <c r="B108" s="17" t="s">
        <v>241</v>
      </c>
      <c r="C108" s="10" t="s">
        <v>242</v>
      </c>
      <c r="D108" s="10" t="s">
        <v>525</v>
      </c>
      <c r="E108" s="16" t="s">
        <v>672</v>
      </c>
    </row>
    <row r="109" spans="1:5" x14ac:dyDescent="0.25">
      <c r="A109" s="11" t="s">
        <v>413</v>
      </c>
      <c r="B109" s="15">
        <v>8.3000000000000007</v>
      </c>
      <c r="C109" s="16" t="s">
        <v>243</v>
      </c>
      <c r="D109" s="16" t="s">
        <v>526</v>
      </c>
      <c r="E109" s="10"/>
    </row>
    <row r="110" spans="1:5" x14ac:dyDescent="0.25">
      <c r="A110" s="11" t="s">
        <v>417</v>
      </c>
      <c r="B110" s="17" t="s">
        <v>244</v>
      </c>
      <c r="C110" s="10" t="s">
        <v>245</v>
      </c>
      <c r="D110" s="10" t="s">
        <v>527</v>
      </c>
      <c r="E110" s="16" t="s">
        <v>671</v>
      </c>
    </row>
    <row r="111" spans="1:5" ht="15.75" x14ac:dyDescent="0.25">
      <c r="A111" s="11" t="s">
        <v>414</v>
      </c>
      <c r="B111" s="13">
        <v>9</v>
      </c>
      <c r="C111" s="14" t="s">
        <v>246</v>
      </c>
      <c r="D111" s="14" t="s">
        <v>528</v>
      </c>
      <c r="E111" s="10"/>
    </row>
    <row r="112" spans="1:5" ht="15.75" x14ac:dyDescent="0.25">
      <c r="A112" s="11" t="s">
        <v>413</v>
      </c>
      <c r="B112" s="15">
        <v>9.1</v>
      </c>
      <c r="C112" s="16" t="s">
        <v>247</v>
      </c>
      <c r="D112" s="16" t="s">
        <v>529</v>
      </c>
      <c r="E112" s="14"/>
    </row>
    <row r="113" spans="1:5" x14ac:dyDescent="0.25">
      <c r="A113" s="11" t="s">
        <v>417</v>
      </c>
      <c r="B113" s="17" t="s">
        <v>248</v>
      </c>
      <c r="C113" s="10" t="s">
        <v>249</v>
      </c>
      <c r="D113" s="10" t="s">
        <v>530</v>
      </c>
      <c r="E113" s="16" t="s">
        <v>672</v>
      </c>
    </row>
    <row r="114" spans="1:5" x14ac:dyDescent="0.25">
      <c r="A114" s="11" t="s">
        <v>417</v>
      </c>
      <c r="B114" s="17" t="s">
        <v>250</v>
      </c>
      <c r="C114" s="10" t="s">
        <v>251</v>
      </c>
      <c r="D114" s="10" t="s">
        <v>531</v>
      </c>
      <c r="E114" s="10" t="s">
        <v>672</v>
      </c>
    </row>
    <row r="115" spans="1:5" x14ac:dyDescent="0.25">
      <c r="A115" s="11" t="s">
        <v>417</v>
      </c>
      <c r="B115" s="17" t="s">
        <v>252</v>
      </c>
      <c r="C115" s="10" t="s">
        <v>253</v>
      </c>
      <c r="D115" s="10" t="s">
        <v>532</v>
      </c>
      <c r="E115" s="10" t="s">
        <v>672</v>
      </c>
    </row>
    <row r="116" spans="1:5" x14ac:dyDescent="0.25">
      <c r="A116" s="11" t="s">
        <v>417</v>
      </c>
      <c r="B116" s="17" t="s">
        <v>254</v>
      </c>
      <c r="C116" s="10" t="s">
        <v>255</v>
      </c>
      <c r="D116" s="10" t="s">
        <v>533</v>
      </c>
      <c r="E116" s="10" t="s">
        <v>670</v>
      </c>
    </row>
    <row r="117" spans="1:5" x14ac:dyDescent="0.25">
      <c r="A117" s="11" t="s">
        <v>417</v>
      </c>
      <c r="B117" s="17" t="s">
        <v>256</v>
      </c>
      <c r="C117" s="10" t="s">
        <v>257</v>
      </c>
      <c r="D117" s="10" t="s">
        <v>534</v>
      </c>
      <c r="E117" s="10" t="s">
        <v>671</v>
      </c>
    </row>
    <row r="118" spans="1:5" x14ac:dyDescent="0.25">
      <c r="A118" s="11" t="s">
        <v>413</v>
      </c>
      <c r="B118" s="15">
        <v>9.1999999999999993</v>
      </c>
      <c r="C118" s="16" t="s">
        <v>258</v>
      </c>
      <c r="D118" s="16" t="s">
        <v>535</v>
      </c>
      <c r="E118" s="10"/>
    </row>
    <row r="119" spans="1:5" x14ac:dyDescent="0.25">
      <c r="A119" s="11" t="s">
        <v>417</v>
      </c>
      <c r="B119" s="17" t="s">
        <v>259</v>
      </c>
      <c r="C119" s="10" t="s">
        <v>260</v>
      </c>
      <c r="D119" s="10" t="s">
        <v>536</v>
      </c>
      <c r="E119" s="16" t="s">
        <v>672</v>
      </c>
    </row>
    <row r="120" spans="1:5" x14ac:dyDescent="0.25">
      <c r="A120" s="11" t="s">
        <v>417</v>
      </c>
      <c r="B120" s="17" t="s">
        <v>261</v>
      </c>
      <c r="C120" s="10" t="s">
        <v>262</v>
      </c>
      <c r="D120" s="10" t="s">
        <v>537</v>
      </c>
      <c r="E120" s="10" t="s">
        <v>672</v>
      </c>
    </row>
    <row r="121" spans="1:5" x14ac:dyDescent="0.25">
      <c r="A121" s="11" t="s">
        <v>417</v>
      </c>
      <c r="B121" s="17" t="s">
        <v>263</v>
      </c>
      <c r="C121" s="10" t="s">
        <v>264</v>
      </c>
      <c r="D121" s="10" t="s">
        <v>538</v>
      </c>
      <c r="E121" s="10" t="s">
        <v>671</v>
      </c>
    </row>
    <row r="122" spans="1:5" x14ac:dyDescent="0.25">
      <c r="A122" s="11" t="s">
        <v>413</v>
      </c>
      <c r="B122" s="15">
        <v>9.3000000000000007</v>
      </c>
      <c r="C122" s="16" t="s">
        <v>265</v>
      </c>
      <c r="D122" s="16" t="s">
        <v>539</v>
      </c>
      <c r="E122" s="10"/>
    </row>
    <row r="123" spans="1:5" x14ac:dyDescent="0.25">
      <c r="A123" s="11" t="s">
        <v>417</v>
      </c>
      <c r="B123" s="17" t="s">
        <v>266</v>
      </c>
      <c r="C123" s="10" t="s">
        <v>267</v>
      </c>
      <c r="D123" s="10" t="s">
        <v>540</v>
      </c>
      <c r="E123" s="16" t="s">
        <v>670</v>
      </c>
    </row>
    <row r="124" spans="1:5" x14ac:dyDescent="0.25">
      <c r="A124" s="11" t="s">
        <v>417</v>
      </c>
      <c r="B124" s="17" t="s">
        <v>268</v>
      </c>
      <c r="C124" s="10" t="s">
        <v>269</v>
      </c>
      <c r="D124" s="10" t="s">
        <v>541</v>
      </c>
      <c r="E124" s="10" t="s">
        <v>670</v>
      </c>
    </row>
    <row r="125" spans="1:5" x14ac:dyDescent="0.25">
      <c r="A125" s="11" t="s">
        <v>417</v>
      </c>
      <c r="B125" s="17" t="s">
        <v>270</v>
      </c>
      <c r="C125" s="10" t="s">
        <v>271</v>
      </c>
      <c r="D125" s="10" t="s">
        <v>542</v>
      </c>
      <c r="E125" s="10" t="s">
        <v>669</v>
      </c>
    </row>
    <row r="126" spans="1:5" x14ac:dyDescent="0.25">
      <c r="A126" s="11" t="s">
        <v>417</v>
      </c>
      <c r="B126" s="17" t="s">
        <v>272</v>
      </c>
      <c r="C126" s="10" t="s">
        <v>273</v>
      </c>
      <c r="D126" s="10" t="s">
        <v>543</v>
      </c>
      <c r="E126" s="10" t="s">
        <v>669</v>
      </c>
    </row>
    <row r="127" spans="1:5" x14ac:dyDescent="0.25">
      <c r="A127" s="11" t="s">
        <v>417</v>
      </c>
      <c r="B127" s="17" t="s">
        <v>274</v>
      </c>
      <c r="C127" s="10" t="s">
        <v>275</v>
      </c>
      <c r="D127" s="10" t="s">
        <v>544</v>
      </c>
      <c r="E127" s="10" t="s">
        <v>671</v>
      </c>
    </row>
    <row r="128" spans="1:5" x14ac:dyDescent="0.25">
      <c r="A128" s="11" t="s">
        <v>413</v>
      </c>
      <c r="B128" s="15">
        <v>9.4</v>
      </c>
      <c r="C128" s="16" t="s">
        <v>276</v>
      </c>
      <c r="D128" s="16" t="s">
        <v>545</v>
      </c>
      <c r="E128" s="10"/>
    </row>
    <row r="129" spans="1:5" x14ac:dyDescent="0.25">
      <c r="A129" s="11" t="s">
        <v>417</v>
      </c>
      <c r="B129" s="17" t="s">
        <v>277</v>
      </c>
      <c r="C129" s="10" t="s">
        <v>278</v>
      </c>
      <c r="D129" s="10" t="s">
        <v>546</v>
      </c>
      <c r="E129" s="16" t="s">
        <v>671</v>
      </c>
    </row>
    <row r="130" spans="1:5" x14ac:dyDescent="0.25">
      <c r="A130" s="11" t="s">
        <v>417</v>
      </c>
      <c r="B130" s="17" t="s">
        <v>279</v>
      </c>
      <c r="C130" s="10" t="s">
        <v>280</v>
      </c>
      <c r="D130" s="10" t="s">
        <v>547</v>
      </c>
      <c r="E130" s="10" t="s">
        <v>671</v>
      </c>
    </row>
    <row r="131" spans="1:5" x14ac:dyDescent="0.25">
      <c r="A131" s="11" t="s">
        <v>417</v>
      </c>
      <c r="B131" s="17" t="s">
        <v>281</v>
      </c>
      <c r="C131" s="10" t="s">
        <v>282</v>
      </c>
      <c r="D131" s="10" t="s">
        <v>548</v>
      </c>
      <c r="E131" s="10" t="s">
        <v>671</v>
      </c>
    </row>
    <row r="132" spans="1:5" x14ac:dyDescent="0.25">
      <c r="A132" s="11" t="s">
        <v>413</v>
      </c>
      <c r="B132" s="15">
        <v>9.5</v>
      </c>
      <c r="C132" s="16" t="s">
        <v>283</v>
      </c>
      <c r="D132" s="16" t="s">
        <v>549</v>
      </c>
      <c r="E132" s="10"/>
    </row>
    <row r="133" spans="1:5" x14ac:dyDescent="0.25">
      <c r="A133" s="11" t="s">
        <v>417</v>
      </c>
      <c r="B133" s="17" t="s">
        <v>284</v>
      </c>
      <c r="C133" s="10" t="s">
        <v>285</v>
      </c>
      <c r="D133" s="10" t="s">
        <v>550</v>
      </c>
      <c r="E133" s="16" t="s">
        <v>670</v>
      </c>
    </row>
    <row r="134" spans="1:5" x14ac:dyDescent="0.25">
      <c r="A134" s="11" t="s">
        <v>417</v>
      </c>
      <c r="B134" s="17" t="s">
        <v>286</v>
      </c>
      <c r="C134" s="10" t="s">
        <v>287</v>
      </c>
      <c r="D134" s="10" t="s">
        <v>551</v>
      </c>
      <c r="E134" s="10" t="s">
        <v>669</v>
      </c>
    </row>
    <row r="135" spans="1:5" x14ac:dyDescent="0.25">
      <c r="A135" s="11" t="s">
        <v>417</v>
      </c>
      <c r="B135" s="17" t="s">
        <v>288</v>
      </c>
      <c r="C135" s="10" t="s">
        <v>289</v>
      </c>
      <c r="D135" s="10" t="s">
        <v>552</v>
      </c>
      <c r="E135" s="10" t="s">
        <v>669</v>
      </c>
    </row>
    <row r="136" spans="1:5" x14ac:dyDescent="0.25">
      <c r="A136" s="11" t="s">
        <v>417</v>
      </c>
      <c r="B136" s="17" t="s">
        <v>290</v>
      </c>
      <c r="C136" s="10" t="s">
        <v>291</v>
      </c>
      <c r="D136" s="10" t="s">
        <v>553</v>
      </c>
      <c r="E136" s="10" t="s">
        <v>669</v>
      </c>
    </row>
    <row r="137" spans="1:5" x14ac:dyDescent="0.25">
      <c r="A137" s="11" t="s">
        <v>413</v>
      </c>
      <c r="B137" s="15">
        <v>9.6</v>
      </c>
      <c r="C137" s="16" t="s">
        <v>292</v>
      </c>
      <c r="D137" s="16" t="s">
        <v>554</v>
      </c>
      <c r="E137" s="10"/>
    </row>
    <row r="138" spans="1:5" x14ac:dyDescent="0.25">
      <c r="A138" s="11" t="s">
        <v>417</v>
      </c>
      <c r="B138" s="17" t="s">
        <v>293</v>
      </c>
      <c r="C138" s="10" t="s">
        <v>294</v>
      </c>
      <c r="D138" s="10" t="s">
        <v>555</v>
      </c>
      <c r="E138" s="16" t="s">
        <v>671</v>
      </c>
    </row>
    <row r="139" spans="1:5" ht="15.75" x14ac:dyDescent="0.25">
      <c r="A139" s="11" t="s">
        <v>414</v>
      </c>
      <c r="B139" s="13">
        <v>10</v>
      </c>
      <c r="C139" s="14" t="s">
        <v>295</v>
      </c>
      <c r="D139" s="14" t="s">
        <v>556</v>
      </c>
      <c r="E139" s="10"/>
    </row>
    <row r="140" spans="1:5" ht="15.75" x14ac:dyDescent="0.25">
      <c r="A140" s="11" t="s">
        <v>413</v>
      </c>
      <c r="B140" s="15">
        <v>10.1</v>
      </c>
      <c r="C140" s="16" t="s">
        <v>296</v>
      </c>
      <c r="D140" s="16" t="s">
        <v>557</v>
      </c>
      <c r="E140" s="14"/>
    </row>
    <row r="141" spans="1:5" x14ac:dyDescent="0.25">
      <c r="A141" s="11" t="s">
        <v>417</v>
      </c>
      <c r="B141" s="17" t="s">
        <v>297</v>
      </c>
      <c r="C141" s="10" t="s">
        <v>298</v>
      </c>
      <c r="D141" s="10" t="s">
        <v>558</v>
      </c>
      <c r="E141" s="16" t="s">
        <v>671</v>
      </c>
    </row>
    <row r="142" spans="1:5" x14ac:dyDescent="0.25">
      <c r="A142" s="11" t="s">
        <v>413</v>
      </c>
      <c r="B142" s="15">
        <v>10.199999999999999</v>
      </c>
      <c r="C142" s="16" t="s">
        <v>299</v>
      </c>
      <c r="D142" s="16" t="s">
        <v>559</v>
      </c>
      <c r="E142" s="10"/>
    </row>
    <row r="143" spans="1:5" x14ac:dyDescent="0.25">
      <c r="A143" s="11" t="s">
        <v>417</v>
      </c>
      <c r="B143" s="17" t="s">
        <v>300</v>
      </c>
      <c r="C143" s="10" t="s">
        <v>301</v>
      </c>
      <c r="D143" s="10" t="s">
        <v>560</v>
      </c>
      <c r="E143" s="16" t="s">
        <v>671</v>
      </c>
    </row>
    <row r="144" spans="1:5" x14ac:dyDescent="0.25">
      <c r="A144" s="11" t="s">
        <v>413</v>
      </c>
      <c r="B144" s="15">
        <v>10.3</v>
      </c>
      <c r="C144" s="16" t="s">
        <v>302</v>
      </c>
      <c r="D144" s="16" t="s">
        <v>561</v>
      </c>
      <c r="E144" s="10"/>
    </row>
    <row r="145" spans="1:5" x14ac:dyDescent="0.25">
      <c r="A145" s="11" t="s">
        <v>417</v>
      </c>
      <c r="B145" s="17" t="s">
        <v>303</v>
      </c>
      <c r="C145" s="10" t="s">
        <v>304</v>
      </c>
      <c r="D145" s="10" t="s">
        <v>562</v>
      </c>
      <c r="E145" s="16" t="s">
        <v>671</v>
      </c>
    </row>
    <row r="146" spans="1:5" x14ac:dyDescent="0.25">
      <c r="A146" s="11" t="s">
        <v>413</v>
      </c>
      <c r="B146" s="15">
        <v>10.4</v>
      </c>
      <c r="C146" s="16" t="s">
        <v>305</v>
      </c>
      <c r="D146" s="16" t="s">
        <v>563</v>
      </c>
      <c r="E146" s="10"/>
    </row>
    <row r="147" spans="1:5" x14ac:dyDescent="0.25">
      <c r="A147" s="11" t="s">
        <v>417</v>
      </c>
      <c r="B147" s="17" t="s">
        <v>306</v>
      </c>
      <c r="C147" s="10" t="s">
        <v>307</v>
      </c>
      <c r="D147" s="10" t="s">
        <v>564</v>
      </c>
      <c r="E147" s="16" t="s">
        <v>671</v>
      </c>
    </row>
    <row r="148" spans="1:5" x14ac:dyDescent="0.25">
      <c r="A148" s="11" t="s">
        <v>413</v>
      </c>
      <c r="B148" s="15">
        <v>10.5</v>
      </c>
      <c r="C148" s="16" t="s">
        <v>308</v>
      </c>
      <c r="D148" s="16" t="s">
        <v>565</v>
      </c>
      <c r="E148" s="10"/>
    </row>
    <row r="149" spans="1:5" x14ac:dyDescent="0.25">
      <c r="A149" s="11" t="s">
        <v>417</v>
      </c>
      <c r="B149" s="17" t="s">
        <v>309</v>
      </c>
      <c r="C149" s="10" t="s">
        <v>310</v>
      </c>
      <c r="D149" s="10" t="s">
        <v>566</v>
      </c>
      <c r="E149" s="16" t="s">
        <v>671</v>
      </c>
    </row>
    <row r="150" spans="1:5" ht="15.75" x14ac:dyDescent="0.25">
      <c r="A150" s="11" t="s">
        <v>414</v>
      </c>
      <c r="B150" s="13">
        <v>11</v>
      </c>
      <c r="C150" s="14" t="s">
        <v>311</v>
      </c>
      <c r="D150" s="14" t="s">
        <v>567</v>
      </c>
      <c r="E150" s="10"/>
    </row>
    <row r="151" spans="1:5" ht="15.75" x14ac:dyDescent="0.25">
      <c r="A151" s="11" t="s">
        <v>413</v>
      </c>
      <c r="B151" s="15">
        <v>11.1</v>
      </c>
      <c r="C151" s="16" t="s">
        <v>312</v>
      </c>
      <c r="D151" s="16" t="s">
        <v>568</v>
      </c>
      <c r="E151" s="14"/>
    </row>
    <row r="152" spans="1:5" x14ac:dyDescent="0.25">
      <c r="A152" s="11" t="s">
        <v>417</v>
      </c>
      <c r="B152" s="17" t="s">
        <v>313</v>
      </c>
      <c r="C152" s="10" t="s">
        <v>314</v>
      </c>
      <c r="D152" s="10" t="s">
        <v>569</v>
      </c>
      <c r="E152" s="16" t="s">
        <v>671</v>
      </c>
    </row>
    <row r="153" spans="1:5" x14ac:dyDescent="0.25">
      <c r="A153" s="11" t="s">
        <v>417</v>
      </c>
      <c r="B153" s="17" t="s">
        <v>315</v>
      </c>
      <c r="C153" s="10" t="s">
        <v>316</v>
      </c>
      <c r="D153" s="10" t="s">
        <v>570</v>
      </c>
      <c r="E153" s="10" t="s">
        <v>671</v>
      </c>
    </row>
    <row r="154" spans="1:5" x14ac:dyDescent="0.25">
      <c r="A154" s="11" t="s">
        <v>413</v>
      </c>
      <c r="B154" s="15">
        <v>11.2</v>
      </c>
      <c r="C154" s="16" t="s">
        <v>317</v>
      </c>
      <c r="D154" s="16" t="s">
        <v>571</v>
      </c>
      <c r="E154" s="10"/>
    </row>
    <row r="155" spans="1:5" x14ac:dyDescent="0.25">
      <c r="A155" s="11" t="s">
        <v>417</v>
      </c>
      <c r="B155" s="17" t="s">
        <v>318</v>
      </c>
      <c r="C155" s="10" t="s">
        <v>319</v>
      </c>
      <c r="D155" s="10" t="s">
        <v>572</v>
      </c>
      <c r="E155" s="16" t="s">
        <v>671</v>
      </c>
    </row>
    <row r="156" spans="1:5" ht="15.75" x14ac:dyDescent="0.25">
      <c r="A156" s="11" t="s">
        <v>414</v>
      </c>
      <c r="B156" s="13">
        <v>12</v>
      </c>
      <c r="C156" s="14" t="s">
        <v>320</v>
      </c>
      <c r="D156" s="14" t="s">
        <v>573</v>
      </c>
      <c r="E156" s="10"/>
    </row>
    <row r="157" spans="1:5" ht="15.75" x14ac:dyDescent="0.25">
      <c r="A157" s="11" t="s">
        <v>413</v>
      </c>
      <c r="B157" s="15">
        <v>12.1</v>
      </c>
      <c r="C157" s="16" t="s">
        <v>321</v>
      </c>
      <c r="D157" s="16" t="s">
        <v>574</v>
      </c>
      <c r="E157" s="14"/>
    </row>
    <row r="158" spans="1:5" x14ac:dyDescent="0.25">
      <c r="A158" s="11" t="s">
        <v>417</v>
      </c>
      <c r="B158" s="17" t="s">
        <v>322</v>
      </c>
      <c r="C158" s="10" t="s">
        <v>323</v>
      </c>
      <c r="D158" s="10" t="s">
        <v>575</v>
      </c>
      <c r="E158" s="16" t="s">
        <v>671</v>
      </c>
    </row>
    <row r="159" spans="1:5" x14ac:dyDescent="0.25">
      <c r="A159" s="11" t="s">
        <v>417</v>
      </c>
      <c r="B159" s="17" t="s">
        <v>324</v>
      </c>
      <c r="C159" s="10" t="s">
        <v>325</v>
      </c>
      <c r="D159" s="10" t="s">
        <v>576</v>
      </c>
      <c r="E159" s="10" t="s">
        <v>670</v>
      </c>
    </row>
    <row r="160" spans="1:5" x14ac:dyDescent="0.25">
      <c r="A160" s="11" t="s">
        <v>417</v>
      </c>
      <c r="B160" s="17" t="s">
        <v>326</v>
      </c>
      <c r="C160" s="10" t="s">
        <v>327</v>
      </c>
      <c r="D160" s="10" t="s">
        <v>577</v>
      </c>
      <c r="E160" s="10" t="s">
        <v>669</v>
      </c>
    </row>
    <row r="161" spans="1:5" x14ac:dyDescent="0.25">
      <c r="A161" s="11" t="s">
        <v>413</v>
      </c>
      <c r="B161" s="15">
        <v>12.2</v>
      </c>
      <c r="C161" s="16" t="s">
        <v>328</v>
      </c>
      <c r="D161" s="16" t="s">
        <v>578</v>
      </c>
      <c r="E161" s="10"/>
    </row>
    <row r="162" spans="1:5" x14ac:dyDescent="0.25">
      <c r="A162" s="11" t="s">
        <v>417</v>
      </c>
      <c r="B162" s="17" t="s">
        <v>329</v>
      </c>
      <c r="C162" s="10" t="s">
        <v>330</v>
      </c>
      <c r="D162" s="10" t="s">
        <v>579</v>
      </c>
      <c r="E162" s="16" t="s">
        <v>671</v>
      </c>
    </row>
    <row r="163" spans="1:5" x14ac:dyDescent="0.25">
      <c r="A163" s="11" t="s">
        <v>413</v>
      </c>
      <c r="B163" s="15">
        <v>12.3</v>
      </c>
      <c r="C163" s="16" t="s">
        <v>331</v>
      </c>
      <c r="D163" s="16" t="s">
        <v>580</v>
      </c>
      <c r="E163" s="10"/>
    </row>
    <row r="164" spans="1:5" x14ac:dyDescent="0.25">
      <c r="A164" s="11" t="s">
        <v>417</v>
      </c>
      <c r="B164" s="17" t="s">
        <v>332</v>
      </c>
      <c r="C164" s="10" t="s">
        <v>333</v>
      </c>
      <c r="D164" s="10" t="s">
        <v>581</v>
      </c>
      <c r="E164" s="16" t="s">
        <v>672</v>
      </c>
    </row>
    <row r="165" spans="1:5" x14ac:dyDescent="0.25">
      <c r="A165" s="11" t="s">
        <v>417</v>
      </c>
      <c r="B165" s="17" t="s">
        <v>334</v>
      </c>
      <c r="C165" s="10" t="s">
        <v>335</v>
      </c>
      <c r="D165" s="10" t="s">
        <v>582</v>
      </c>
      <c r="E165" s="10" t="s">
        <v>670</v>
      </c>
    </row>
    <row r="166" spans="1:5" x14ac:dyDescent="0.25">
      <c r="A166" s="11" t="s">
        <v>413</v>
      </c>
      <c r="B166" s="15">
        <v>12.4</v>
      </c>
      <c r="C166" s="16" t="s">
        <v>336</v>
      </c>
      <c r="D166" s="16" t="s">
        <v>583</v>
      </c>
      <c r="E166" s="10"/>
    </row>
    <row r="167" spans="1:5" x14ac:dyDescent="0.25">
      <c r="A167" s="11" t="s">
        <v>417</v>
      </c>
      <c r="B167" s="17" t="s">
        <v>337</v>
      </c>
      <c r="C167" s="10" t="s">
        <v>338</v>
      </c>
      <c r="D167" s="10" t="s">
        <v>584</v>
      </c>
      <c r="E167" s="16" t="s">
        <v>671</v>
      </c>
    </row>
    <row r="168" spans="1:5" x14ac:dyDescent="0.25">
      <c r="A168" s="11" t="s">
        <v>413</v>
      </c>
      <c r="B168" s="15">
        <v>12.5</v>
      </c>
      <c r="C168" s="16" t="s">
        <v>339</v>
      </c>
      <c r="D168" s="16" t="s">
        <v>585</v>
      </c>
      <c r="E168" s="10"/>
    </row>
    <row r="169" spans="1:5" x14ac:dyDescent="0.25">
      <c r="A169" s="11" t="s">
        <v>417</v>
      </c>
      <c r="B169" s="17" t="s">
        <v>340</v>
      </c>
      <c r="C169" s="10" t="s">
        <v>341</v>
      </c>
      <c r="D169" s="10" t="s">
        <v>586</v>
      </c>
      <c r="E169" s="16" t="s">
        <v>671</v>
      </c>
    </row>
    <row r="170" spans="1:5" x14ac:dyDescent="0.25">
      <c r="A170" s="11" t="s">
        <v>417</v>
      </c>
      <c r="B170" s="17" t="s">
        <v>342</v>
      </c>
      <c r="C170" s="10" t="s">
        <v>343</v>
      </c>
      <c r="D170" s="10" t="s">
        <v>587</v>
      </c>
      <c r="E170" s="10" t="s">
        <v>671</v>
      </c>
    </row>
    <row r="171" spans="1:5" x14ac:dyDescent="0.25">
      <c r="A171" s="11" t="s">
        <v>417</v>
      </c>
      <c r="B171" s="17" t="s">
        <v>344</v>
      </c>
      <c r="C171" s="10" t="s">
        <v>345</v>
      </c>
      <c r="D171" s="10" t="s">
        <v>588</v>
      </c>
      <c r="E171" s="10" t="s">
        <v>671</v>
      </c>
    </row>
    <row r="172" spans="1:5" x14ac:dyDescent="0.25">
      <c r="A172" s="11" t="s">
        <v>417</v>
      </c>
      <c r="B172" s="17" t="s">
        <v>346</v>
      </c>
      <c r="C172" s="10" t="s">
        <v>347</v>
      </c>
      <c r="D172" s="10" t="s">
        <v>589</v>
      </c>
      <c r="E172" s="10" t="s">
        <v>671</v>
      </c>
    </row>
    <row r="173" spans="1:5" x14ac:dyDescent="0.25">
      <c r="A173" s="11" t="s">
        <v>417</v>
      </c>
      <c r="B173" s="17" t="s">
        <v>348</v>
      </c>
      <c r="C173" s="10" t="s">
        <v>349</v>
      </c>
      <c r="D173" s="10" t="s">
        <v>590</v>
      </c>
      <c r="E173" s="10" t="s">
        <v>671</v>
      </c>
    </row>
    <row r="174" spans="1:5" x14ac:dyDescent="0.25">
      <c r="A174" s="11" t="s">
        <v>413</v>
      </c>
      <c r="B174" s="15">
        <v>12.6</v>
      </c>
      <c r="C174" s="16" t="s">
        <v>350</v>
      </c>
      <c r="D174" s="16" t="s">
        <v>591</v>
      </c>
      <c r="E174" s="10"/>
    </row>
    <row r="175" spans="1:5" x14ac:dyDescent="0.25">
      <c r="A175" s="11" t="s">
        <v>417</v>
      </c>
      <c r="B175" s="17" t="s">
        <v>351</v>
      </c>
      <c r="C175" s="10" t="s">
        <v>352</v>
      </c>
      <c r="D175" s="10" t="s">
        <v>592</v>
      </c>
      <c r="E175" s="16" t="s">
        <v>671</v>
      </c>
    </row>
    <row r="176" spans="1:5" x14ac:dyDescent="0.25">
      <c r="A176" s="11" t="s">
        <v>417</v>
      </c>
      <c r="B176" s="17" t="s">
        <v>353</v>
      </c>
      <c r="C176" s="10" t="s">
        <v>354</v>
      </c>
      <c r="D176" s="10" t="s">
        <v>593</v>
      </c>
      <c r="E176" s="10" t="s">
        <v>671</v>
      </c>
    </row>
    <row r="177" spans="1:5" x14ac:dyDescent="0.25">
      <c r="A177" s="11" t="s">
        <v>413</v>
      </c>
      <c r="B177" s="15">
        <v>12.7</v>
      </c>
      <c r="C177" s="16" t="s">
        <v>355</v>
      </c>
      <c r="D177" s="16" t="s">
        <v>594</v>
      </c>
      <c r="E177" s="10"/>
    </row>
    <row r="178" spans="1:5" x14ac:dyDescent="0.25">
      <c r="A178" s="11" t="s">
        <v>417</v>
      </c>
      <c r="B178" s="17" t="s">
        <v>356</v>
      </c>
      <c r="C178" s="10" t="s">
        <v>357</v>
      </c>
      <c r="D178" s="10" t="s">
        <v>595</v>
      </c>
      <c r="E178" s="16" t="s">
        <v>671</v>
      </c>
    </row>
    <row r="179" spans="1:5" ht="15.75" x14ac:dyDescent="0.25">
      <c r="A179" s="11" t="s">
        <v>414</v>
      </c>
      <c r="B179" s="13">
        <v>13</v>
      </c>
      <c r="C179" s="14" t="s">
        <v>358</v>
      </c>
      <c r="D179" s="14" t="s">
        <v>596</v>
      </c>
      <c r="E179" s="10" t="s">
        <v>673</v>
      </c>
    </row>
    <row r="180" spans="1:5" ht="15.75" x14ac:dyDescent="0.25">
      <c r="A180" s="11" t="s">
        <v>413</v>
      </c>
      <c r="B180" s="15">
        <v>13.1</v>
      </c>
      <c r="C180" s="16" t="s">
        <v>34</v>
      </c>
      <c r="D180" s="16" t="s">
        <v>597</v>
      </c>
      <c r="E180" s="14"/>
    </row>
    <row r="181" spans="1:5" x14ac:dyDescent="0.25">
      <c r="A181" s="11" t="s">
        <v>417</v>
      </c>
      <c r="B181" s="17" t="s">
        <v>359</v>
      </c>
      <c r="C181" s="10" t="s">
        <v>360</v>
      </c>
      <c r="D181" s="10" t="s">
        <v>598</v>
      </c>
      <c r="E181" s="16" t="s">
        <v>671</v>
      </c>
    </row>
    <row r="182" spans="1:5" x14ac:dyDescent="0.25">
      <c r="A182" s="11" t="s">
        <v>413</v>
      </c>
      <c r="B182" s="15">
        <v>13.2</v>
      </c>
      <c r="C182" s="16" t="s">
        <v>186</v>
      </c>
      <c r="D182" s="16" t="s">
        <v>599</v>
      </c>
      <c r="E182" s="10"/>
    </row>
    <row r="183" spans="1:5" x14ac:dyDescent="0.25">
      <c r="A183" s="11" t="s">
        <v>417</v>
      </c>
      <c r="B183" s="17" t="s">
        <v>361</v>
      </c>
      <c r="C183" s="10" t="s">
        <v>189</v>
      </c>
      <c r="D183" s="10" t="s">
        <v>600</v>
      </c>
      <c r="E183" s="16" t="s">
        <v>669</v>
      </c>
    </row>
    <row r="184" spans="1:5" x14ac:dyDescent="0.25">
      <c r="A184" s="11" t="s">
        <v>417</v>
      </c>
      <c r="B184" s="17" t="s">
        <v>362</v>
      </c>
      <c r="C184" s="10" t="s">
        <v>191</v>
      </c>
      <c r="D184" s="10" t="s">
        <v>601</v>
      </c>
      <c r="E184" s="10" t="s">
        <v>669</v>
      </c>
    </row>
    <row r="185" spans="1:5" x14ac:dyDescent="0.25">
      <c r="A185" s="11" t="s">
        <v>417</v>
      </c>
      <c r="B185" s="17" t="s">
        <v>363</v>
      </c>
      <c r="C185" s="10" t="s">
        <v>193</v>
      </c>
      <c r="D185" s="10" t="s">
        <v>602</v>
      </c>
      <c r="E185" s="10" t="s">
        <v>672</v>
      </c>
    </row>
    <row r="186" spans="1:5" x14ac:dyDescent="0.25">
      <c r="A186" s="11" t="s">
        <v>417</v>
      </c>
      <c r="B186" s="17" t="s">
        <v>364</v>
      </c>
      <c r="C186" s="10" t="s">
        <v>365</v>
      </c>
      <c r="D186" s="10" t="s">
        <v>603</v>
      </c>
      <c r="E186" s="10" t="s">
        <v>671</v>
      </c>
    </row>
    <row r="187" spans="1:5" x14ac:dyDescent="0.25">
      <c r="A187" s="11" t="s">
        <v>417</v>
      </c>
      <c r="B187" s="17" t="s">
        <v>366</v>
      </c>
      <c r="C187" s="10" t="s">
        <v>367</v>
      </c>
      <c r="D187" s="10" t="s">
        <v>604</v>
      </c>
      <c r="E187" s="10" t="s">
        <v>671</v>
      </c>
    </row>
    <row r="188" spans="1:5" x14ac:dyDescent="0.25">
      <c r="A188" s="11" t="s">
        <v>417</v>
      </c>
      <c r="B188" s="17" t="s">
        <v>368</v>
      </c>
      <c r="C188" s="10" t="s">
        <v>369</v>
      </c>
      <c r="D188" s="10" t="s">
        <v>605</v>
      </c>
      <c r="E188" s="10" t="s">
        <v>671</v>
      </c>
    </row>
    <row r="189" spans="1:5" x14ac:dyDescent="0.25">
      <c r="A189" s="11" t="s">
        <v>417</v>
      </c>
      <c r="B189" s="17" t="s">
        <v>370</v>
      </c>
      <c r="C189" s="10" t="s">
        <v>203</v>
      </c>
      <c r="D189" s="10" t="s">
        <v>606</v>
      </c>
      <c r="E189" s="10" t="s">
        <v>671</v>
      </c>
    </row>
    <row r="190" spans="1:5" x14ac:dyDescent="0.25">
      <c r="A190" s="11" t="s">
        <v>417</v>
      </c>
      <c r="B190" s="17" t="s">
        <v>371</v>
      </c>
      <c r="C190" s="10" t="s">
        <v>372</v>
      </c>
      <c r="D190" s="10" t="s">
        <v>607</v>
      </c>
      <c r="E190" s="10" t="s">
        <v>671</v>
      </c>
    </row>
    <row r="191" spans="1:5" x14ac:dyDescent="0.25">
      <c r="A191" s="11" t="s">
        <v>413</v>
      </c>
      <c r="B191" s="15">
        <v>13.3</v>
      </c>
      <c r="C191" s="16" t="s">
        <v>246</v>
      </c>
      <c r="D191" s="16" t="s">
        <v>608</v>
      </c>
      <c r="E191" s="10"/>
    </row>
    <row r="192" spans="1:5" x14ac:dyDescent="0.25">
      <c r="A192" s="11" t="s">
        <v>417</v>
      </c>
      <c r="B192" s="17" t="s">
        <v>373</v>
      </c>
      <c r="C192" s="10" t="s">
        <v>278</v>
      </c>
      <c r="D192" s="10" t="s">
        <v>609</v>
      </c>
      <c r="E192" s="16" t="s">
        <v>671</v>
      </c>
    </row>
    <row r="193" spans="1:5" x14ac:dyDescent="0.25">
      <c r="A193" s="11" t="s">
        <v>417</v>
      </c>
      <c r="B193" s="17" t="s">
        <v>374</v>
      </c>
      <c r="C193" s="10" t="s">
        <v>280</v>
      </c>
      <c r="D193" s="10" t="s">
        <v>610</v>
      </c>
      <c r="E193" s="10" t="s">
        <v>671</v>
      </c>
    </row>
    <row r="194" spans="1:5" x14ac:dyDescent="0.25">
      <c r="A194" s="11" t="s">
        <v>413</v>
      </c>
      <c r="B194" s="15">
        <v>13.4</v>
      </c>
      <c r="C194" s="16" t="s">
        <v>295</v>
      </c>
      <c r="D194" s="16" t="s">
        <v>611</v>
      </c>
      <c r="E194" s="10"/>
    </row>
    <row r="195" spans="1:5" x14ac:dyDescent="0.25">
      <c r="A195" s="11" t="s">
        <v>417</v>
      </c>
      <c r="B195" s="17" t="s">
        <v>375</v>
      </c>
      <c r="C195" s="10" t="s">
        <v>298</v>
      </c>
      <c r="D195" s="10" t="s">
        <v>612</v>
      </c>
      <c r="E195" s="16" t="s">
        <v>671</v>
      </c>
    </row>
    <row r="196" spans="1:5" x14ac:dyDescent="0.25">
      <c r="A196" s="11" t="s">
        <v>417</v>
      </c>
      <c r="B196" s="17" t="s">
        <v>376</v>
      </c>
      <c r="C196" s="10" t="s">
        <v>301</v>
      </c>
      <c r="D196" s="10" t="s">
        <v>613</v>
      </c>
      <c r="E196" s="10" t="s">
        <v>671</v>
      </c>
    </row>
    <row r="197" spans="1:5" x14ac:dyDescent="0.25">
      <c r="A197" s="11" t="s">
        <v>417</v>
      </c>
      <c r="B197" s="17" t="s">
        <v>377</v>
      </c>
      <c r="C197" s="10" t="s">
        <v>304</v>
      </c>
      <c r="D197" s="10" t="s">
        <v>614</v>
      </c>
      <c r="E197" s="10" t="s">
        <v>671</v>
      </c>
    </row>
    <row r="198" spans="1:5" x14ac:dyDescent="0.25">
      <c r="A198" s="11" t="s">
        <v>417</v>
      </c>
      <c r="B198" s="17" t="s">
        <v>378</v>
      </c>
      <c r="C198" s="10" t="s">
        <v>307</v>
      </c>
      <c r="D198" s="10" t="s">
        <v>615</v>
      </c>
      <c r="E198" s="10" t="s">
        <v>671</v>
      </c>
    </row>
    <row r="199" spans="1:5" x14ac:dyDescent="0.25">
      <c r="A199" s="11" t="s">
        <v>417</v>
      </c>
      <c r="B199" s="17" t="s">
        <v>379</v>
      </c>
      <c r="C199" s="10" t="s">
        <v>310</v>
      </c>
      <c r="D199" s="10" t="s">
        <v>616</v>
      </c>
      <c r="E199" s="10" t="s">
        <v>671</v>
      </c>
    </row>
    <row r="200" spans="1:5" x14ac:dyDescent="0.25">
      <c r="A200" s="11" t="s">
        <v>417</v>
      </c>
      <c r="B200" s="17" t="s">
        <v>380</v>
      </c>
      <c r="C200" s="10" t="s">
        <v>381</v>
      </c>
      <c r="D200" s="10" t="s">
        <v>617</v>
      </c>
      <c r="E200" s="10" t="s">
        <v>671</v>
      </c>
    </row>
    <row r="201" spans="1:5" x14ac:dyDescent="0.25">
      <c r="A201" s="11" t="s">
        <v>413</v>
      </c>
      <c r="B201" s="15">
        <v>13.5</v>
      </c>
      <c r="C201" s="16" t="s">
        <v>336</v>
      </c>
      <c r="D201" s="16" t="s">
        <v>618</v>
      </c>
      <c r="E201" s="10"/>
    </row>
    <row r="202" spans="1:5" x14ac:dyDescent="0.25">
      <c r="A202" s="11" t="s">
        <v>417</v>
      </c>
      <c r="B202" s="17" t="s">
        <v>382</v>
      </c>
      <c r="C202" s="10" t="s">
        <v>338</v>
      </c>
      <c r="D202" s="10" t="s">
        <v>619</v>
      </c>
      <c r="E202" s="16" t="s">
        <v>671</v>
      </c>
    </row>
    <row r="203" spans="1:5" x14ac:dyDescent="0.25">
      <c r="A203" s="11" t="s">
        <v>413</v>
      </c>
      <c r="B203" s="15">
        <v>13.6</v>
      </c>
      <c r="C203" s="16" t="s">
        <v>383</v>
      </c>
      <c r="D203" s="16" t="s">
        <v>620</v>
      </c>
      <c r="E203" s="10"/>
    </row>
    <row r="204" spans="1:5" x14ac:dyDescent="0.25">
      <c r="A204" s="11" t="s">
        <v>417</v>
      </c>
      <c r="B204" s="17" t="s">
        <v>384</v>
      </c>
      <c r="C204" s="10" t="s">
        <v>385</v>
      </c>
      <c r="D204" s="10" t="s">
        <v>621</v>
      </c>
      <c r="E204" s="16" t="s">
        <v>671</v>
      </c>
    </row>
    <row r="205" spans="1:5" x14ac:dyDescent="0.25">
      <c r="A205" s="11" t="s">
        <v>417</v>
      </c>
      <c r="B205" s="17" t="s">
        <v>386</v>
      </c>
      <c r="C205" s="10" t="s">
        <v>387</v>
      </c>
      <c r="D205" s="10" t="s">
        <v>622</v>
      </c>
      <c r="E205" s="10" t="s">
        <v>671</v>
      </c>
    </row>
    <row r="206" spans="1:5" x14ac:dyDescent="0.25">
      <c r="A206" s="11" t="s">
        <v>417</v>
      </c>
      <c r="B206" s="17" t="s">
        <v>388</v>
      </c>
      <c r="C206" s="10" t="s">
        <v>389</v>
      </c>
      <c r="D206" s="10" t="s">
        <v>623</v>
      </c>
      <c r="E206" s="10" t="s">
        <v>671</v>
      </c>
    </row>
    <row r="207" spans="1:5" x14ac:dyDescent="0.25">
      <c r="A207" s="11" t="s">
        <v>417</v>
      </c>
      <c r="B207" s="17" t="s">
        <v>390</v>
      </c>
      <c r="C207" s="10" t="s">
        <v>391</v>
      </c>
      <c r="D207" s="10" t="s">
        <v>624</v>
      </c>
      <c r="E207" s="10" t="s">
        <v>671</v>
      </c>
    </row>
    <row r="208" spans="1:5" ht="15.75" x14ac:dyDescent="0.25">
      <c r="A208" s="11" t="s">
        <v>414</v>
      </c>
      <c r="B208" s="13">
        <v>14</v>
      </c>
      <c r="C208" s="14" t="s">
        <v>392</v>
      </c>
      <c r="D208" s="14" t="s">
        <v>625</v>
      </c>
      <c r="E208" s="10"/>
    </row>
    <row r="209" spans="1:5" ht="15.75" x14ac:dyDescent="0.25">
      <c r="A209" s="11" t="s">
        <v>413</v>
      </c>
      <c r="B209" s="15">
        <v>14.1</v>
      </c>
      <c r="C209" s="16" t="s">
        <v>34</v>
      </c>
      <c r="D209" s="16" t="s">
        <v>626</v>
      </c>
      <c r="E209" s="14"/>
    </row>
    <row r="210" spans="1:5" x14ac:dyDescent="0.25">
      <c r="A210" s="11" t="s">
        <v>417</v>
      </c>
      <c r="B210" s="17" t="s">
        <v>393</v>
      </c>
      <c r="C210" s="10" t="s">
        <v>360</v>
      </c>
      <c r="D210" s="10" t="s">
        <v>627</v>
      </c>
      <c r="E210" s="16" t="s">
        <v>671</v>
      </c>
    </row>
    <row r="211" spans="1:5" x14ac:dyDescent="0.25">
      <c r="A211" s="11" t="s">
        <v>413</v>
      </c>
      <c r="B211" s="15">
        <v>14.2</v>
      </c>
      <c r="C211" s="16" t="s">
        <v>186</v>
      </c>
      <c r="D211" s="16" t="s">
        <v>628</v>
      </c>
      <c r="E211" s="10"/>
    </row>
    <row r="212" spans="1:5" x14ac:dyDescent="0.25">
      <c r="A212" s="11" t="s">
        <v>417</v>
      </c>
      <c r="B212" s="17" t="s">
        <v>394</v>
      </c>
      <c r="C212" s="10" t="s">
        <v>189</v>
      </c>
      <c r="D212" s="10" t="s">
        <v>629</v>
      </c>
      <c r="E212" s="16" t="s">
        <v>669</v>
      </c>
    </row>
    <row r="213" spans="1:5" x14ac:dyDescent="0.25">
      <c r="A213" s="11" t="s">
        <v>417</v>
      </c>
      <c r="B213" s="17" t="s">
        <v>395</v>
      </c>
      <c r="C213" s="10" t="s">
        <v>191</v>
      </c>
      <c r="D213" s="10" t="s">
        <v>630</v>
      </c>
      <c r="E213" s="10" t="s">
        <v>669</v>
      </c>
    </row>
    <row r="214" spans="1:5" x14ac:dyDescent="0.25">
      <c r="A214" s="11" t="s">
        <v>417</v>
      </c>
      <c r="B214" s="17" t="s">
        <v>396</v>
      </c>
      <c r="C214" s="10" t="s">
        <v>193</v>
      </c>
      <c r="D214" s="10" t="s">
        <v>631</v>
      </c>
      <c r="E214" s="10" t="s">
        <v>672</v>
      </c>
    </row>
    <row r="215" spans="1:5" x14ac:dyDescent="0.25">
      <c r="A215" s="11" t="s">
        <v>417</v>
      </c>
      <c r="B215" s="17" t="s">
        <v>397</v>
      </c>
      <c r="C215" s="10" t="s">
        <v>365</v>
      </c>
      <c r="D215" s="10" t="s">
        <v>632</v>
      </c>
      <c r="E215" s="10" t="s">
        <v>671</v>
      </c>
    </row>
    <row r="216" spans="1:5" x14ac:dyDescent="0.25">
      <c r="A216" s="11" t="s">
        <v>417</v>
      </c>
      <c r="B216" s="17" t="s">
        <v>398</v>
      </c>
      <c r="C216" s="10" t="s">
        <v>367</v>
      </c>
      <c r="D216" s="10" t="s">
        <v>633</v>
      </c>
      <c r="E216" s="10" t="s">
        <v>671</v>
      </c>
    </row>
    <row r="217" spans="1:5" x14ac:dyDescent="0.25">
      <c r="A217" s="11" t="s">
        <v>417</v>
      </c>
      <c r="B217" s="17" t="s">
        <v>399</v>
      </c>
      <c r="C217" s="10" t="s">
        <v>369</v>
      </c>
      <c r="D217" s="10" t="s">
        <v>634</v>
      </c>
      <c r="E217" s="10" t="s">
        <v>671</v>
      </c>
    </row>
    <row r="218" spans="1:5" x14ac:dyDescent="0.25">
      <c r="A218" s="11" t="s">
        <v>417</v>
      </c>
      <c r="B218" s="17" t="s">
        <v>400</v>
      </c>
      <c r="C218" s="10" t="s">
        <v>203</v>
      </c>
      <c r="D218" s="10" t="s">
        <v>635</v>
      </c>
      <c r="E218" s="10" t="s">
        <v>671</v>
      </c>
    </row>
    <row r="219" spans="1:5" x14ac:dyDescent="0.25">
      <c r="A219" s="11" t="s">
        <v>417</v>
      </c>
      <c r="B219" s="17" t="s">
        <v>401</v>
      </c>
      <c r="C219" s="10" t="s">
        <v>402</v>
      </c>
      <c r="D219" s="10" t="s">
        <v>636</v>
      </c>
      <c r="E219" s="10" t="s">
        <v>671</v>
      </c>
    </row>
    <row r="220" spans="1:5" x14ac:dyDescent="0.25">
      <c r="A220" s="11" t="s">
        <v>413</v>
      </c>
      <c r="B220" s="15">
        <v>14.3</v>
      </c>
      <c r="C220" s="16" t="s">
        <v>246</v>
      </c>
      <c r="D220" s="16" t="s">
        <v>637</v>
      </c>
      <c r="E220" s="10"/>
    </row>
    <row r="221" spans="1:5" x14ac:dyDescent="0.25">
      <c r="A221" s="11" t="s">
        <v>417</v>
      </c>
      <c r="B221" s="17" t="s">
        <v>403</v>
      </c>
      <c r="C221" s="10" t="s">
        <v>278</v>
      </c>
      <c r="D221" s="10" t="s">
        <v>638</v>
      </c>
      <c r="E221" s="16" t="s">
        <v>671</v>
      </c>
    </row>
    <row r="222" spans="1:5" x14ac:dyDescent="0.25">
      <c r="A222" s="11" t="s">
        <v>417</v>
      </c>
      <c r="B222" s="17" t="s">
        <v>404</v>
      </c>
      <c r="C222" s="10" t="s">
        <v>280</v>
      </c>
      <c r="D222" s="10" t="s">
        <v>639</v>
      </c>
      <c r="E222" s="10" t="s">
        <v>671</v>
      </c>
    </row>
    <row r="223" spans="1:5" x14ac:dyDescent="0.25">
      <c r="A223" s="11" t="s">
        <v>413</v>
      </c>
      <c r="B223" s="15">
        <v>14.4</v>
      </c>
      <c r="C223" s="16" t="s">
        <v>295</v>
      </c>
      <c r="D223" s="16" t="s">
        <v>640</v>
      </c>
      <c r="E223" s="10"/>
    </row>
    <row r="224" spans="1:5" x14ac:dyDescent="0.25">
      <c r="A224" s="11" t="s">
        <v>417</v>
      </c>
      <c r="B224" s="17" t="s">
        <v>405</v>
      </c>
      <c r="C224" s="10" t="s">
        <v>298</v>
      </c>
      <c r="D224" s="10" t="s">
        <v>641</v>
      </c>
      <c r="E224" s="16" t="s">
        <v>671</v>
      </c>
    </row>
    <row r="225" spans="1:5" x14ac:dyDescent="0.25">
      <c r="A225" s="11" t="s">
        <v>417</v>
      </c>
      <c r="B225" s="17" t="s">
        <v>406</v>
      </c>
      <c r="C225" s="10" t="s">
        <v>301</v>
      </c>
      <c r="D225" s="10" t="s">
        <v>642</v>
      </c>
      <c r="E225" s="10" t="s">
        <v>671</v>
      </c>
    </row>
    <row r="226" spans="1:5" x14ac:dyDescent="0.25">
      <c r="A226" s="11" t="s">
        <v>417</v>
      </c>
      <c r="B226" s="17" t="s">
        <v>407</v>
      </c>
      <c r="C226" s="10" t="s">
        <v>304</v>
      </c>
      <c r="D226" s="10" t="s">
        <v>643</v>
      </c>
      <c r="E226" s="10" t="s">
        <v>671</v>
      </c>
    </row>
    <row r="227" spans="1:5" x14ac:dyDescent="0.25">
      <c r="A227" s="11" t="s">
        <v>417</v>
      </c>
      <c r="B227" s="17" t="s">
        <v>408</v>
      </c>
      <c r="C227" s="10" t="s">
        <v>307</v>
      </c>
      <c r="D227" s="10" t="s">
        <v>644</v>
      </c>
      <c r="E227" s="10" t="s">
        <v>671</v>
      </c>
    </row>
    <row r="228" spans="1:5" x14ac:dyDescent="0.25">
      <c r="A228" s="11" t="s">
        <v>417</v>
      </c>
      <c r="B228" s="17" t="s">
        <v>409</v>
      </c>
      <c r="C228" s="10" t="s">
        <v>310</v>
      </c>
      <c r="D228" s="10" t="s">
        <v>645</v>
      </c>
      <c r="E228" s="10" t="s">
        <v>671</v>
      </c>
    </row>
    <row r="229" spans="1:5" x14ac:dyDescent="0.25">
      <c r="A229" s="11" t="s">
        <v>417</v>
      </c>
      <c r="B229" s="17" t="s">
        <v>410</v>
      </c>
      <c r="C229" s="10" t="s">
        <v>411</v>
      </c>
      <c r="D229" s="10" t="s">
        <v>646</v>
      </c>
      <c r="E229" s="10" t="s">
        <v>671</v>
      </c>
    </row>
    <row r="230" spans="1:5" x14ac:dyDescent="0.25">
      <c r="A230" s="11" t="s">
        <v>413</v>
      </c>
      <c r="B230" s="15">
        <v>14.5</v>
      </c>
      <c r="C230" s="16" t="s">
        <v>336</v>
      </c>
      <c r="D230" s="16" t="s">
        <v>647</v>
      </c>
      <c r="E230" s="10"/>
    </row>
    <row r="231" spans="1:5" x14ac:dyDescent="0.25">
      <c r="A231" s="11" t="s">
        <v>417</v>
      </c>
      <c r="B231" s="17" t="s">
        <v>412</v>
      </c>
      <c r="C231" s="10" t="s">
        <v>338</v>
      </c>
      <c r="D231" s="10" t="s">
        <v>648</v>
      </c>
      <c r="E231" s="16" t="s">
        <v>671</v>
      </c>
    </row>
  </sheetData>
  <autoFilter ref="A2:E23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L2"/>
  <sheetViews>
    <sheetView workbookViewId="0">
      <selection activeCell="H13" sqref="H13"/>
    </sheetView>
  </sheetViews>
  <sheetFormatPr defaultColWidth="9.140625" defaultRowHeight="15" x14ac:dyDescent="0.25"/>
  <cols>
    <col min="1" max="9" width="9.140625" style="1"/>
    <col min="10" max="10" width="10.5703125" style="1" bestFit="1" customWidth="1"/>
    <col min="11" max="16384" width="9.140625" style="1"/>
  </cols>
  <sheetData>
    <row r="1" spans="1:168" x14ac:dyDescent="0.25">
      <c r="A1" s="1" t="s">
        <v>759</v>
      </c>
      <c r="B1" s="1" t="s">
        <v>650</v>
      </c>
      <c r="C1" s="1" t="s">
        <v>651</v>
      </c>
      <c r="D1" s="1" t="s">
        <v>652</v>
      </c>
      <c r="E1" s="1" t="s">
        <v>975</v>
      </c>
      <c r="F1" s="1" t="s">
        <v>1067</v>
      </c>
      <c r="G1" s="1" t="s">
        <v>760</v>
      </c>
      <c r="H1" s="1" t="s">
        <v>761</v>
      </c>
      <c r="I1" s="1" t="s">
        <v>762</v>
      </c>
      <c r="J1" s="1" t="s">
        <v>763</v>
      </c>
      <c r="K1" s="1" t="s">
        <v>764</v>
      </c>
      <c r="L1" s="1" t="s">
        <v>765</v>
      </c>
      <c r="M1" s="1" t="s">
        <v>766</v>
      </c>
      <c r="N1" s="1" t="s">
        <v>767</v>
      </c>
      <c r="O1" s="1" t="s">
        <v>768</v>
      </c>
      <c r="P1" s="1" t="s">
        <v>778</v>
      </c>
      <c r="Q1" s="1" t="s">
        <v>769</v>
      </c>
      <c r="R1" s="1" t="s">
        <v>900</v>
      </c>
      <c r="S1" s="1" t="s">
        <v>991</v>
      </c>
      <c r="T1" s="1" t="s">
        <v>824</v>
      </c>
      <c r="U1" s="1" t="s">
        <v>825</v>
      </c>
      <c r="V1" s="1" t="s">
        <v>826</v>
      </c>
      <c r="W1" s="1" t="s">
        <v>827</v>
      </c>
      <c r="X1" s="1" t="s">
        <v>828</v>
      </c>
      <c r="Y1" s="1" t="s">
        <v>829</v>
      </c>
      <c r="Z1" s="1" t="s">
        <v>830</v>
      </c>
      <c r="AA1" s="1" t="s">
        <v>831</v>
      </c>
      <c r="AB1" s="1" t="s">
        <v>832</v>
      </c>
      <c r="AC1" s="1" t="s">
        <v>901</v>
      </c>
      <c r="AD1" s="1" t="s">
        <v>833</v>
      </c>
      <c r="AE1" s="1" t="s">
        <v>834</v>
      </c>
      <c r="AF1" s="1" t="s">
        <v>835</v>
      </c>
      <c r="AG1" s="1" t="s">
        <v>836</v>
      </c>
      <c r="AH1" s="1" t="s">
        <v>992</v>
      </c>
      <c r="AI1" s="1" t="s">
        <v>993</v>
      </c>
      <c r="AJ1" s="1" t="s">
        <v>903</v>
      </c>
      <c r="AK1" s="1" t="s">
        <v>904</v>
      </c>
      <c r="AL1" s="1" t="s">
        <v>905</v>
      </c>
      <c r="AM1" s="1" t="s">
        <v>906</v>
      </c>
      <c r="AN1" s="1" t="s">
        <v>994</v>
      </c>
      <c r="AO1" s="1" t="s">
        <v>995</v>
      </c>
      <c r="AP1" s="1" t="s">
        <v>996</v>
      </c>
      <c r="AQ1" s="1" t="s">
        <v>997</v>
      </c>
      <c r="AR1" s="1" t="s">
        <v>998</v>
      </c>
      <c r="AS1" s="1" t="s">
        <v>841</v>
      </c>
      <c r="AT1" s="1" t="s">
        <v>842</v>
      </c>
      <c r="AU1" s="1" t="s">
        <v>843</v>
      </c>
      <c r="AV1" s="1" t="s">
        <v>844</v>
      </c>
      <c r="AW1" s="1" t="s">
        <v>845</v>
      </c>
      <c r="AX1" s="1" t="s">
        <v>846</v>
      </c>
      <c r="AY1" s="1" t="s">
        <v>847</v>
      </c>
      <c r="AZ1" s="1" t="s">
        <v>848</v>
      </c>
      <c r="BA1" s="1" t="s">
        <v>849</v>
      </c>
      <c r="BB1" s="1" t="s">
        <v>850</v>
      </c>
      <c r="BC1" s="1" t="s">
        <v>851</v>
      </c>
      <c r="BD1" s="1" t="s">
        <v>852</v>
      </c>
      <c r="BE1" s="1" t="s">
        <v>853</v>
      </c>
      <c r="BF1" s="1" t="s">
        <v>854</v>
      </c>
      <c r="BG1" s="1" t="s">
        <v>855</v>
      </c>
      <c r="BH1" s="1" t="s">
        <v>856</v>
      </c>
      <c r="BI1" s="1" t="s">
        <v>857</v>
      </c>
      <c r="BJ1" s="1" t="s">
        <v>858</v>
      </c>
      <c r="BK1" s="1" t="s">
        <v>859</v>
      </c>
      <c r="BL1" s="1" t="s">
        <v>860</v>
      </c>
      <c r="BM1" s="1" t="s">
        <v>861</v>
      </c>
      <c r="BN1" s="1" t="s">
        <v>862</v>
      </c>
      <c r="BO1" s="1" t="s">
        <v>863</v>
      </c>
      <c r="BP1" s="1" t="s">
        <v>864</v>
      </c>
      <c r="BQ1" s="1" t="s">
        <v>865</v>
      </c>
      <c r="BR1" s="1" t="s">
        <v>866</v>
      </c>
      <c r="BS1" s="1" t="s">
        <v>867</v>
      </c>
      <c r="BT1" s="1" t="s">
        <v>868</v>
      </c>
      <c r="BU1" s="1" t="s">
        <v>869</v>
      </c>
      <c r="BV1" s="1" t="s">
        <v>870</v>
      </c>
      <c r="BW1" s="1" t="s">
        <v>871</v>
      </c>
      <c r="BX1" s="1" t="s">
        <v>872</v>
      </c>
      <c r="BY1" s="1" t="s">
        <v>873</v>
      </c>
      <c r="BZ1" s="1" t="s">
        <v>874</v>
      </c>
      <c r="CA1" s="1" t="s">
        <v>875</v>
      </c>
      <c r="CB1" s="1" t="s">
        <v>876</v>
      </c>
      <c r="CC1" s="1" t="s">
        <v>908</v>
      </c>
      <c r="CD1" s="1" t="s">
        <v>909</v>
      </c>
      <c r="CE1" s="1" t="s">
        <v>910</v>
      </c>
      <c r="CF1" s="1" t="s">
        <v>911</v>
      </c>
      <c r="CG1" s="1" t="s">
        <v>999</v>
      </c>
      <c r="CH1" s="1" t="s">
        <v>1000</v>
      </c>
      <c r="CI1" s="1" t="s">
        <v>1001</v>
      </c>
      <c r="CJ1" s="1" t="s">
        <v>1002</v>
      </c>
      <c r="CK1" s="1" t="s">
        <v>771</v>
      </c>
      <c r="CL1" s="1" t="s">
        <v>779</v>
      </c>
      <c r="CM1" s="1" t="s">
        <v>780</v>
      </c>
      <c r="CN1" s="1" t="s">
        <v>781</v>
      </c>
      <c r="CO1" s="1" t="s">
        <v>782</v>
      </c>
      <c r="CP1" s="1" t="s">
        <v>783</v>
      </c>
      <c r="CQ1" s="1" t="s">
        <v>912</v>
      </c>
      <c r="CR1" s="1" t="s">
        <v>1003</v>
      </c>
      <c r="CS1" s="1" t="s">
        <v>1004</v>
      </c>
      <c r="CT1" s="1" t="s">
        <v>1005</v>
      </c>
      <c r="CU1" s="1" t="s">
        <v>1006</v>
      </c>
      <c r="CV1" s="1" t="s">
        <v>879</v>
      </c>
      <c r="CW1" s="1" t="s">
        <v>880</v>
      </c>
      <c r="CX1" s="1" t="s">
        <v>881</v>
      </c>
      <c r="CY1" s="1" t="s">
        <v>882</v>
      </c>
      <c r="CZ1" s="1" t="s">
        <v>883</v>
      </c>
      <c r="DA1" s="1" t="s">
        <v>884</v>
      </c>
      <c r="DB1" s="1" t="s">
        <v>923</v>
      </c>
      <c r="DC1" s="1" t="s">
        <v>924</v>
      </c>
      <c r="DD1" s="1" t="s">
        <v>925</v>
      </c>
      <c r="DE1" s="1" t="s">
        <v>926</v>
      </c>
      <c r="DF1" s="1" t="s">
        <v>1007</v>
      </c>
      <c r="DG1" s="1" t="s">
        <v>1008</v>
      </c>
      <c r="DH1" s="1" t="s">
        <v>1009</v>
      </c>
      <c r="DI1" s="1" t="s">
        <v>1010</v>
      </c>
      <c r="DJ1" s="1" t="s">
        <v>1011</v>
      </c>
      <c r="DK1" s="1" t="s">
        <v>1012</v>
      </c>
      <c r="DL1" s="1" t="s">
        <v>1013</v>
      </c>
      <c r="DM1" s="1" t="s">
        <v>1014</v>
      </c>
      <c r="DN1" s="1" t="s">
        <v>1015</v>
      </c>
      <c r="DO1" s="1" t="s">
        <v>1016</v>
      </c>
      <c r="DP1" s="1" t="s">
        <v>1017</v>
      </c>
      <c r="DQ1" s="1" t="s">
        <v>1018</v>
      </c>
      <c r="DR1" s="1" t="s">
        <v>1019</v>
      </c>
      <c r="DS1" s="1" t="s">
        <v>1020</v>
      </c>
      <c r="DT1" s="1" t="s">
        <v>1021</v>
      </c>
      <c r="DU1" s="1" t="s">
        <v>1022</v>
      </c>
      <c r="DV1" s="1" t="s">
        <v>1023</v>
      </c>
      <c r="DW1" s="1" t="s">
        <v>1024</v>
      </c>
      <c r="DX1" s="1" t="s">
        <v>1025</v>
      </c>
      <c r="DY1" s="1" t="s">
        <v>1026</v>
      </c>
      <c r="DZ1" s="1" t="s">
        <v>1027</v>
      </c>
      <c r="EA1" s="1" t="s">
        <v>1028</v>
      </c>
      <c r="EB1" s="1" t="s">
        <v>1029</v>
      </c>
      <c r="EC1" s="1" t="s">
        <v>1030</v>
      </c>
      <c r="ED1" s="1" t="s">
        <v>1031</v>
      </c>
      <c r="EE1" s="1" t="s">
        <v>1032</v>
      </c>
      <c r="EF1" s="1" t="s">
        <v>1033</v>
      </c>
      <c r="EG1" s="1" t="s">
        <v>1034</v>
      </c>
      <c r="EH1" s="1" t="s">
        <v>1035</v>
      </c>
      <c r="EI1" s="1" t="s">
        <v>1036</v>
      </c>
      <c r="EJ1" s="1" t="s">
        <v>1037</v>
      </c>
      <c r="EK1" s="1" t="s">
        <v>1038</v>
      </c>
      <c r="EL1" s="1" t="s">
        <v>1039</v>
      </c>
      <c r="EM1" s="1" t="s">
        <v>1040</v>
      </c>
      <c r="EN1" s="1" t="s">
        <v>1041</v>
      </c>
      <c r="EO1" s="1" t="s">
        <v>1042</v>
      </c>
      <c r="EP1" s="1" t="s">
        <v>1043</v>
      </c>
      <c r="EQ1" s="1" t="s">
        <v>1044</v>
      </c>
      <c r="ER1" s="1" t="s">
        <v>1045</v>
      </c>
      <c r="ES1" s="1" t="s">
        <v>1046</v>
      </c>
      <c r="ET1" s="1" t="s">
        <v>1047</v>
      </c>
      <c r="EU1" s="1" t="s">
        <v>1048</v>
      </c>
      <c r="EV1" s="1" t="s">
        <v>1049</v>
      </c>
      <c r="EW1" s="1" t="s">
        <v>1050</v>
      </c>
      <c r="EX1" s="1" t="s">
        <v>1051</v>
      </c>
      <c r="EY1" s="1" t="s">
        <v>1052</v>
      </c>
      <c r="EZ1" s="1" t="s">
        <v>1053</v>
      </c>
      <c r="FA1" s="1" t="s">
        <v>1054</v>
      </c>
      <c r="FB1" s="1" t="s">
        <v>1055</v>
      </c>
      <c r="FC1" s="1" t="s">
        <v>1056</v>
      </c>
      <c r="FD1" s="1" t="s">
        <v>1057</v>
      </c>
      <c r="FE1" s="1" t="s">
        <v>1058</v>
      </c>
      <c r="FF1" s="1" t="s">
        <v>1059</v>
      </c>
      <c r="FG1" s="1" t="s">
        <v>1060</v>
      </c>
      <c r="FH1" s="1" t="s">
        <v>1061</v>
      </c>
      <c r="FI1" s="1" t="s">
        <v>1062</v>
      </c>
      <c r="FJ1" s="1" t="s">
        <v>1063</v>
      </c>
      <c r="FK1" s="1" t="s">
        <v>1064</v>
      </c>
      <c r="FL1" s="1" t="s">
        <v>1065</v>
      </c>
    </row>
    <row r="2" spans="1:168" x14ac:dyDescent="0.25">
      <c r="A2" s="1" t="s">
        <v>706</v>
      </c>
      <c r="B2" s="1">
        <v>2015</v>
      </c>
      <c r="C2" s="1" t="s">
        <v>888</v>
      </c>
      <c r="D2" s="1" t="s">
        <v>983</v>
      </c>
      <c r="E2" s="1" t="s">
        <v>46</v>
      </c>
      <c r="F2" s="1" t="s">
        <v>39</v>
      </c>
      <c r="G2" s="1" t="s">
        <v>46</v>
      </c>
      <c r="H2" s="1" t="s">
        <v>46</v>
      </c>
      <c r="I2" s="1" t="s">
        <v>46</v>
      </c>
      <c r="J2" s="1" t="s">
        <v>46</v>
      </c>
      <c r="K2" s="1" t="s">
        <v>11</v>
      </c>
      <c r="L2" s="1" t="s">
        <v>665</v>
      </c>
      <c r="M2" s="1">
        <v>3</v>
      </c>
      <c r="N2" s="1" t="s">
        <v>890</v>
      </c>
      <c r="O2" s="1" t="s">
        <v>46</v>
      </c>
      <c r="P2" s="1" t="s">
        <v>14</v>
      </c>
      <c r="Q2" s="1">
        <v>7.2</v>
      </c>
      <c r="R2" s="1">
        <v>33430</v>
      </c>
      <c r="S2" s="1">
        <v>203</v>
      </c>
      <c r="T2" s="1" t="s">
        <v>777</v>
      </c>
      <c r="U2" s="1" t="s">
        <v>802</v>
      </c>
      <c r="V2" s="1" t="s">
        <v>807</v>
      </c>
      <c r="W2" s="1" t="s">
        <v>46</v>
      </c>
      <c r="X2" s="1" t="s">
        <v>46</v>
      </c>
      <c r="Y2" s="1" t="s">
        <v>777</v>
      </c>
      <c r="Z2" s="1" t="s">
        <v>802</v>
      </c>
      <c r="AA2" s="1" t="s">
        <v>807</v>
      </c>
      <c r="AB2" s="1" t="s">
        <v>46</v>
      </c>
      <c r="AC2" s="1" t="s">
        <v>46</v>
      </c>
      <c r="AD2" s="1" t="s">
        <v>777</v>
      </c>
      <c r="AE2" s="1" t="s">
        <v>809</v>
      </c>
      <c r="AF2" s="1" t="s">
        <v>802</v>
      </c>
      <c r="AG2" s="1" t="s">
        <v>807</v>
      </c>
      <c r="AH2" s="1" t="s">
        <v>46</v>
      </c>
      <c r="AI2" s="1" t="s">
        <v>46</v>
      </c>
      <c r="AJ2" s="1" t="s">
        <v>777</v>
      </c>
      <c r="AK2" s="1" t="s">
        <v>802</v>
      </c>
      <c r="AL2" s="1" t="s">
        <v>46</v>
      </c>
      <c r="AM2" s="1" t="s">
        <v>46</v>
      </c>
      <c r="AN2" s="1" t="s">
        <v>894</v>
      </c>
      <c r="AO2" s="1" t="s">
        <v>894</v>
      </c>
      <c r="AP2" s="1" t="s">
        <v>894</v>
      </c>
      <c r="AQ2" s="1" t="s">
        <v>894</v>
      </c>
      <c r="AR2" s="1">
        <v>111</v>
      </c>
      <c r="AS2" s="1" t="s">
        <v>665</v>
      </c>
      <c r="AT2" s="1" t="s">
        <v>39</v>
      </c>
      <c r="AU2" s="1" t="s">
        <v>46</v>
      </c>
      <c r="AV2" s="1" t="s">
        <v>39</v>
      </c>
      <c r="AW2" s="1" t="s">
        <v>717</v>
      </c>
      <c r="AX2" s="1" t="s">
        <v>39</v>
      </c>
      <c r="AY2" s="1" t="s">
        <v>46</v>
      </c>
      <c r="AZ2" s="1" t="s">
        <v>46</v>
      </c>
      <c r="BA2" s="1" t="s">
        <v>803</v>
      </c>
      <c r="BB2" s="1" t="s">
        <v>39</v>
      </c>
      <c r="BC2" s="1" t="s">
        <v>46</v>
      </c>
      <c r="BD2" s="1" t="s">
        <v>39</v>
      </c>
      <c r="BE2" s="1" t="s">
        <v>719</v>
      </c>
      <c r="BF2" s="1" t="s">
        <v>39</v>
      </c>
      <c r="BG2" s="1" t="s">
        <v>46</v>
      </c>
      <c r="BH2" s="1" t="s">
        <v>46</v>
      </c>
      <c r="BI2" s="1" t="s">
        <v>665</v>
      </c>
      <c r="BJ2" s="1" t="s">
        <v>39</v>
      </c>
      <c r="BK2" s="1" t="s">
        <v>46</v>
      </c>
      <c r="BL2" s="1" t="s">
        <v>46</v>
      </c>
      <c r="BM2" s="1" t="s">
        <v>803</v>
      </c>
      <c r="BN2" s="1" t="s">
        <v>39</v>
      </c>
      <c r="BO2" s="1" t="s">
        <v>46</v>
      </c>
      <c r="BP2" s="1" t="s">
        <v>46</v>
      </c>
      <c r="BQ2" s="1" t="s">
        <v>803</v>
      </c>
      <c r="BR2" s="1" t="s">
        <v>39</v>
      </c>
      <c r="BS2" s="1" t="s">
        <v>46</v>
      </c>
      <c r="BT2" s="1" t="s">
        <v>46</v>
      </c>
      <c r="BU2" s="1" t="s">
        <v>803</v>
      </c>
      <c r="BV2" s="1" t="s">
        <v>39</v>
      </c>
      <c r="BW2" s="1" t="s">
        <v>46</v>
      </c>
      <c r="BX2" s="1" t="s">
        <v>46</v>
      </c>
      <c r="BY2" s="1" t="s">
        <v>719</v>
      </c>
      <c r="BZ2" s="1" t="s">
        <v>39</v>
      </c>
      <c r="CA2" s="1" t="s">
        <v>46</v>
      </c>
      <c r="CB2" s="1" t="s">
        <v>46</v>
      </c>
      <c r="CC2" s="1" t="s">
        <v>665</v>
      </c>
      <c r="CD2" s="1" t="s">
        <v>39</v>
      </c>
      <c r="CE2" s="1" t="s">
        <v>46</v>
      </c>
      <c r="CF2" s="1" t="s">
        <v>46</v>
      </c>
      <c r="CG2" s="1" t="s">
        <v>665</v>
      </c>
      <c r="CH2" s="1" t="s">
        <v>39</v>
      </c>
      <c r="CI2" s="1" t="s">
        <v>46</v>
      </c>
      <c r="CJ2" s="1" t="s">
        <v>46</v>
      </c>
      <c r="CK2" s="1">
        <v>26</v>
      </c>
      <c r="CL2" s="1" t="s">
        <v>46</v>
      </c>
      <c r="CM2" s="1" t="s">
        <v>46</v>
      </c>
      <c r="CN2" s="1" t="s">
        <v>894</v>
      </c>
      <c r="CO2" s="1" t="s">
        <v>46</v>
      </c>
      <c r="CP2" s="1" t="s">
        <v>46</v>
      </c>
      <c r="CQ2" s="1" t="s">
        <v>46</v>
      </c>
      <c r="CR2" s="1" t="s">
        <v>39</v>
      </c>
      <c r="CS2" s="1" t="s">
        <v>46</v>
      </c>
      <c r="CT2" s="1" t="s">
        <v>803</v>
      </c>
      <c r="CU2" s="1" t="s">
        <v>46</v>
      </c>
      <c r="CV2" s="1" t="s">
        <v>39</v>
      </c>
      <c r="CW2" s="1" t="s">
        <v>894</v>
      </c>
      <c r="CX2" s="1" t="s">
        <v>46</v>
      </c>
      <c r="CY2" s="1" t="s">
        <v>803</v>
      </c>
      <c r="CZ2" s="1" t="s">
        <v>39</v>
      </c>
      <c r="DA2" s="1" t="s">
        <v>894</v>
      </c>
      <c r="DB2" s="1" t="s">
        <v>46</v>
      </c>
      <c r="DC2" s="1" t="s">
        <v>39</v>
      </c>
      <c r="DD2" s="1" t="s">
        <v>46</v>
      </c>
      <c r="DE2" s="1" t="s">
        <v>39</v>
      </c>
      <c r="DF2" s="1" t="s">
        <v>39</v>
      </c>
      <c r="DG2" s="1" t="s">
        <v>46</v>
      </c>
      <c r="DH2" s="1" t="s">
        <v>46</v>
      </c>
      <c r="DI2" s="1" t="s">
        <v>46</v>
      </c>
      <c r="DJ2" s="1" t="s">
        <v>39</v>
      </c>
      <c r="DK2" s="1" t="s">
        <v>39</v>
      </c>
      <c r="DL2" s="1" t="s">
        <v>46</v>
      </c>
      <c r="DM2" s="1" t="s">
        <v>46</v>
      </c>
      <c r="DN2" s="1" t="s">
        <v>46</v>
      </c>
      <c r="DO2" s="1" t="s">
        <v>46</v>
      </c>
      <c r="DP2" s="1" t="s">
        <v>46</v>
      </c>
      <c r="DQ2" s="1" t="s">
        <v>39</v>
      </c>
      <c r="DR2" s="1" t="s">
        <v>46</v>
      </c>
      <c r="DS2" s="1" t="s">
        <v>46</v>
      </c>
      <c r="DT2" s="1" t="s">
        <v>46</v>
      </c>
      <c r="DU2" s="1" t="s">
        <v>46</v>
      </c>
      <c r="DV2" s="1" t="s">
        <v>39</v>
      </c>
      <c r="DW2" s="1" t="s">
        <v>46</v>
      </c>
      <c r="DX2" s="1" t="s">
        <v>46</v>
      </c>
      <c r="DY2" s="1" t="s">
        <v>46</v>
      </c>
      <c r="DZ2" s="1" t="s">
        <v>46</v>
      </c>
      <c r="EA2" s="1" t="s">
        <v>46</v>
      </c>
      <c r="EB2" s="1" t="s">
        <v>46</v>
      </c>
      <c r="EC2" s="1" t="s">
        <v>46</v>
      </c>
      <c r="ED2" s="1" t="s">
        <v>46</v>
      </c>
      <c r="EE2" s="1" t="s">
        <v>46</v>
      </c>
      <c r="EF2" s="1" t="s">
        <v>46</v>
      </c>
      <c r="EG2" s="1" t="s">
        <v>46</v>
      </c>
      <c r="EH2" s="1" t="s">
        <v>39</v>
      </c>
      <c r="EI2" s="1" t="s">
        <v>46</v>
      </c>
      <c r="EJ2" s="1" t="s">
        <v>46</v>
      </c>
      <c r="EK2" s="1" t="s">
        <v>46</v>
      </c>
      <c r="EL2" s="1" t="s">
        <v>46</v>
      </c>
      <c r="EM2" s="1" t="s">
        <v>46</v>
      </c>
      <c r="EN2" s="1" t="s">
        <v>46</v>
      </c>
      <c r="EO2" s="1" t="s">
        <v>46</v>
      </c>
      <c r="EP2" s="1" t="s">
        <v>46</v>
      </c>
      <c r="EQ2" s="1" t="s">
        <v>46</v>
      </c>
      <c r="ER2" s="1" t="s">
        <v>46</v>
      </c>
      <c r="ES2" s="1" t="s">
        <v>46</v>
      </c>
      <c r="ET2" s="1" t="s">
        <v>46</v>
      </c>
      <c r="EU2" s="1" t="s">
        <v>46</v>
      </c>
      <c r="EV2" s="1" t="s">
        <v>46</v>
      </c>
      <c r="EW2" s="1" t="s">
        <v>46</v>
      </c>
      <c r="EX2" s="1" t="s">
        <v>46</v>
      </c>
      <c r="EY2" s="1" t="s">
        <v>46</v>
      </c>
      <c r="EZ2" s="1" t="s">
        <v>46</v>
      </c>
      <c r="FA2" s="1" t="s">
        <v>46</v>
      </c>
      <c r="FB2" s="1" t="s">
        <v>46</v>
      </c>
      <c r="FC2" s="1" t="s">
        <v>46</v>
      </c>
      <c r="FD2" s="1" t="s">
        <v>46</v>
      </c>
      <c r="FE2" s="1" t="s">
        <v>46</v>
      </c>
      <c r="FF2" s="1" t="s">
        <v>46</v>
      </c>
      <c r="FG2" s="1" t="s">
        <v>39</v>
      </c>
      <c r="FH2" s="1" t="s">
        <v>46</v>
      </c>
      <c r="FI2" s="1" t="s">
        <v>46</v>
      </c>
      <c r="FJ2" s="1" t="s">
        <v>46</v>
      </c>
      <c r="FK2" s="1" t="s">
        <v>46</v>
      </c>
      <c r="FL2" s="1"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18</vt:i4>
      </vt:variant>
    </vt:vector>
  </HeadingPairs>
  <TitlesOfParts>
    <vt:vector size="27" baseType="lpstr">
      <vt:lpstr>MAIN FORM (2)</vt:lpstr>
      <vt:lpstr>Instructions</vt:lpstr>
      <vt:lpstr>MAIN FORM</vt:lpstr>
      <vt:lpstr>Sheet1</vt:lpstr>
      <vt:lpstr>Dropdowns</vt:lpstr>
      <vt:lpstr>Checks</vt:lpstr>
      <vt:lpstr>data_base_main</vt:lpstr>
      <vt:lpstr>COICOP</vt:lpstr>
      <vt:lpstr>data_base_comments</vt:lpstr>
      <vt:lpstr>capture</vt:lpstr>
      <vt:lpstr>EAP</vt:lpstr>
      <vt:lpstr>ECA</vt:lpstr>
      <vt:lpstr>informante</vt:lpstr>
      <vt:lpstr>LAC</vt:lpstr>
      <vt:lpstr>MNA</vt:lpstr>
      <vt:lpstr>outside</vt:lpstr>
      <vt:lpstr>period</vt:lpstr>
      <vt:lpstr>recall</vt:lpstr>
      <vt:lpstr>Regions</vt:lpstr>
      <vt:lpstr>SAR</vt:lpstr>
      <vt:lpstr>SSA</vt:lpstr>
      <vt:lpstr>sunits</vt:lpstr>
      <vt:lpstr>type</vt:lpstr>
      <vt:lpstr>unit</vt:lpstr>
      <vt:lpstr>value</vt:lpstr>
      <vt:lpstr>yesno</vt:lpstr>
      <vt:lpstr>yesno2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Felipe Balcazar Salazar</dc:creator>
  <cp:lastModifiedBy>R. Andres Castaneda</cp:lastModifiedBy>
  <dcterms:created xsi:type="dcterms:W3CDTF">2016-11-17T18:54:52Z</dcterms:created>
  <dcterms:modified xsi:type="dcterms:W3CDTF">2017-05-26T20:30:44Z</dcterms:modified>
</cp:coreProperties>
</file>